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egre\PycharmProjects\PFE_IA\File ATDD\"/>
    </mc:Choice>
  </mc:AlternateContent>
  <xr:revisionPtr revIDLastSave="0" documentId="13_ncr:1_{00462E1B-B6A0-450E-AFA1-C8358C602577}" xr6:coauthVersionLast="47" xr6:coauthVersionMax="47" xr10:uidLastSave="{00000000-0000-0000-0000-000000000000}"/>
  <bookViews>
    <workbookView xWindow="12705" yWindow="915" windowWidth="15435" windowHeight="13485" tabRatio="830" xr2:uid="{00000000-000D-0000-FFFF-FFFF00000000}"/>
  </bookViews>
  <sheets>
    <sheet name="Premium_TDD" sheetId="11" r:id="rId1"/>
  </sheets>
  <definedNames>
    <definedName name="MortalityTable" localSheetId="0">Premium_TDD!$B$10:$B$120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2" i="11" l="1"/>
  <c r="M21" i="11"/>
  <c r="M22" i="11" s="1"/>
  <c r="M23" i="11" s="1"/>
  <c r="M24" i="11" s="1"/>
  <c r="M25" i="11" s="1"/>
  <c r="M26" i="11" s="1"/>
  <c r="M27" i="11" s="1"/>
  <c r="M28" i="11" s="1"/>
  <c r="M29" i="11" s="1"/>
  <c r="M30" i="11" s="1"/>
  <c r="M31" i="11" s="1"/>
  <c r="M32" i="11" s="1"/>
  <c r="M33" i="11" s="1"/>
  <c r="M34" i="11" s="1"/>
  <c r="M35" i="11" s="1"/>
  <c r="M36" i="11" s="1"/>
  <c r="M37" i="11" s="1"/>
  <c r="M38" i="11" s="1"/>
  <c r="M39" i="11" s="1"/>
  <c r="M40" i="11" s="1"/>
  <c r="M41" i="11" s="1"/>
  <c r="M42" i="11" s="1"/>
  <c r="M43" i="11" s="1"/>
  <c r="M44" i="11" s="1"/>
  <c r="M45" i="11" s="1"/>
  <c r="M46" i="11" s="1"/>
  <c r="M47" i="11" s="1"/>
  <c r="M48" i="11" s="1"/>
  <c r="M49" i="11" s="1"/>
  <c r="M50" i="11" s="1"/>
  <c r="M51" i="11" s="1"/>
  <c r="M52" i="11" s="1"/>
  <c r="M53" i="11" s="1"/>
  <c r="M54" i="11" s="1"/>
  <c r="M55" i="11" s="1"/>
  <c r="M56" i="11" s="1"/>
  <c r="M57" i="11" s="1"/>
  <c r="M58" i="11" s="1"/>
  <c r="M59" i="11" s="1"/>
  <c r="M60" i="11" s="1"/>
  <c r="M61" i="11" s="1"/>
  <c r="M62" i="11" s="1"/>
  <c r="M63" i="11" s="1"/>
  <c r="M64" i="11" s="1"/>
  <c r="M65" i="11" s="1"/>
  <c r="M66" i="11" s="1"/>
  <c r="M67" i="11" s="1"/>
  <c r="M68" i="11" s="1"/>
  <c r="M69" i="11" s="1"/>
  <c r="M70" i="11" s="1"/>
  <c r="M71" i="11" s="1"/>
  <c r="M72" i="11" s="1"/>
  <c r="M73" i="11" s="1"/>
  <c r="M74" i="11" s="1"/>
  <c r="M75" i="11" s="1"/>
  <c r="M76" i="11" s="1"/>
  <c r="M77" i="11" s="1"/>
  <c r="M78" i="11" s="1"/>
  <c r="M79" i="11" s="1"/>
  <c r="M80" i="11" s="1"/>
  <c r="M81" i="11" s="1"/>
  <c r="M82" i="11" s="1"/>
  <c r="M83" i="11" s="1"/>
  <c r="M84" i="11" s="1"/>
  <c r="M85" i="11" s="1"/>
  <c r="M86" i="11" s="1"/>
  <c r="M87" i="11" s="1"/>
  <c r="M88" i="11" s="1"/>
  <c r="M89" i="11" s="1"/>
  <c r="M90" i="11" s="1"/>
  <c r="M91" i="11" s="1"/>
  <c r="M92" i="11" s="1"/>
  <c r="M93" i="11" s="1"/>
  <c r="M94" i="11" s="1"/>
  <c r="M95" i="11" s="1"/>
  <c r="M96" i="11" s="1"/>
  <c r="M97" i="11" s="1"/>
  <c r="M98" i="11" s="1"/>
  <c r="M99" i="11" s="1"/>
  <c r="M100" i="11" s="1"/>
  <c r="M101" i="11" s="1"/>
  <c r="M102" i="11" s="1"/>
  <c r="M103" i="11" s="1"/>
  <c r="M104" i="11" s="1"/>
  <c r="M105" i="11" s="1"/>
  <c r="M106" i="11" s="1"/>
  <c r="M107" i="11" s="1"/>
  <c r="M108" i="11" s="1"/>
  <c r="M109" i="11" s="1"/>
  <c r="M110" i="11" s="1"/>
  <c r="M111" i="11" s="1"/>
  <c r="H21" i="11"/>
  <c r="A12" i="1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1" i="11"/>
  <c r="F119" i="11"/>
  <c r="C118" i="11"/>
  <c r="E116" i="11"/>
  <c r="F115" i="11"/>
  <c r="C114" i="11"/>
  <c r="E112" i="11"/>
  <c r="P111" i="11"/>
  <c r="F111" i="11"/>
  <c r="C110" i="11"/>
  <c r="N109" i="11"/>
  <c r="O108" i="11"/>
  <c r="E108" i="11"/>
  <c r="P107" i="11"/>
  <c r="F107" i="11"/>
  <c r="C106" i="11"/>
  <c r="N105" i="11"/>
  <c r="O104" i="11"/>
  <c r="E104" i="11"/>
  <c r="P103" i="11"/>
  <c r="F103" i="11"/>
  <c r="C102" i="11"/>
  <c r="N101" i="11"/>
  <c r="O100" i="11"/>
  <c r="E100" i="11"/>
  <c r="P99" i="11"/>
  <c r="F99" i="11"/>
  <c r="C98" i="11"/>
  <c r="N97" i="11"/>
  <c r="O96" i="11"/>
  <c r="E96" i="11"/>
  <c r="P95" i="11"/>
  <c r="F95" i="11"/>
  <c r="C94" i="11"/>
  <c r="N93" i="11"/>
  <c r="O92" i="11"/>
  <c r="E92" i="11"/>
  <c r="P91" i="11"/>
  <c r="F91" i="11"/>
  <c r="C90" i="11"/>
  <c r="N89" i="11"/>
  <c r="O88" i="11"/>
  <c r="E88" i="11"/>
  <c r="P87" i="11"/>
  <c r="F87" i="11"/>
  <c r="C86" i="11"/>
  <c r="N85" i="11"/>
  <c r="O84" i="11"/>
  <c r="E84" i="11"/>
  <c r="P83" i="11"/>
  <c r="E119" i="11"/>
  <c r="F118" i="11"/>
  <c r="C117" i="11"/>
  <c r="E115" i="11"/>
  <c r="F114" i="11"/>
  <c r="C113" i="11"/>
  <c r="O111" i="11"/>
  <c r="E111" i="11"/>
  <c r="P110" i="11"/>
  <c r="F110" i="11"/>
  <c r="C109" i="11"/>
  <c r="N108" i="11"/>
  <c r="O107" i="11"/>
  <c r="E107" i="11"/>
  <c r="P106" i="11"/>
  <c r="F106" i="11"/>
  <c r="C105" i="11"/>
  <c r="N104" i="11"/>
  <c r="O103" i="11"/>
  <c r="E103" i="11"/>
  <c r="P102" i="11"/>
  <c r="F102" i="11"/>
  <c r="C101" i="11"/>
  <c r="N100" i="11"/>
  <c r="O99" i="11"/>
  <c r="E99" i="11"/>
  <c r="P98" i="11"/>
  <c r="F98" i="11"/>
  <c r="C97" i="11"/>
  <c r="N96" i="11"/>
  <c r="O95" i="11"/>
  <c r="E95" i="11"/>
  <c r="P94" i="11"/>
  <c r="F94" i="11"/>
  <c r="C93" i="11"/>
  <c r="N92" i="11"/>
  <c r="O91" i="11"/>
  <c r="E91" i="11"/>
  <c r="P90" i="11"/>
  <c r="F90" i="11"/>
  <c r="C89" i="11"/>
  <c r="N88" i="11"/>
  <c r="O87" i="11"/>
  <c r="E87" i="11"/>
  <c r="C120" i="11"/>
  <c r="E118" i="11"/>
  <c r="F117" i="11"/>
  <c r="C116" i="11"/>
  <c r="E114" i="11"/>
  <c r="F113" i="11"/>
  <c r="C112" i="11"/>
  <c r="N111" i="11"/>
  <c r="O110" i="11"/>
  <c r="E110" i="11"/>
  <c r="P109" i="11"/>
  <c r="F109" i="11"/>
  <c r="C108" i="11"/>
  <c r="N107" i="11"/>
  <c r="O106" i="11"/>
  <c r="E106" i="11"/>
  <c r="P105" i="11"/>
  <c r="F105" i="11"/>
  <c r="C104" i="11"/>
  <c r="N103" i="11"/>
  <c r="O102" i="11"/>
  <c r="E102" i="11"/>
  <c r="P101" i="11"/>
  <c r="F101" i="11"/>
  <c r="C100" i="11"/>
  <c r="N99" i="11"/>
  <c r="O98" i="11"/>
  <c r="E98" i="11"/>
  <c r="P97" i="11"/>
  <c r="F97" i="11"/>
  <c r="C96" i="11"/>
  <c r="N95" i="11"/>
  <c r="O94" i="11"/>
  <c r="E94" i="11"/>
  <c r="P93" i="11"/>
  <c r="F93" i="11"/>
  <c r="C92" i="11"/>
  <c r="N91" i="11"/>
  <c r="O90" i="11"/>
  <c r="E90" i="11"/>
  <c r="P89" i="11"/>
  <c r="F89" i="11"/>
  <c r="C88" i="11"/>
  <c r="N87" i="11"/>
  <c r="O86" i="11"/>
  <c r="E86" i="11"/>
  <c r="P85" i="11"/>
  <c r="F85" i="11"/>
  <c r="C84" i="11"/>
  <c r="N83" i="11"/>
  <c r="F116" i="11"/>
  <c r="E113" i="11"/>
  <c r="P108" i="11"/>
  <c r="E105" i="11"/>
  <c r="N102" i="11"/>
  <c r="F100" i="11"/>
  <c r="C99" i="11"/>
  <c r="O97" i="11"/>
  <c r="P92" i="11"/>
  <c r="E89" i="11"/>
  <c r="P86" i="11"/>
  <c r="F86" i="11"/>
  <c r="C85" i="11"/>
  <c r="O83" i="11"/>
  <c r="F83" i="11"/>
  <c r="C82" i="11"/>
  <c r="N81" i="11"/>
  <c r="O80" i="11"/>
  <c r="E80" i="11"/>
  <c r="P79" i="11"/>
  <c r="F79" i="11"/>
  <c r="C78" i="11"/>
  <c r="N77" i="11"/>
  <c r="O76" i="11"/>
  <c r="E76" i="11"/>
  <c r="P75" i="11"/>
  <c r="F75" i="11"/>
  <c r="C74" i="11"/>
  <c r="N73" i="11"/>
  <c r="O72" i="11"/>
  <c r="E72" i="11"/>
  <c r="P71" i="11"/>
  <c r="F71" i="11"/>
  <c r="C70" i="11"/>
  <c r="N69" i="11"/>
  <c r="O68" i="11"/>
  <c r="E68" i="11"/>
  <c r="P67" i="11"/>
  <c r="F67" i="11"/>
  <c r="C66" i="11"/>
  <c r="N65" i="11"/>
  <c r="O64" i="11"/>
  <c r="E64" i="11"/>
  <c r="P63" i="11"/>
  <c r="F63" i="11"/>
  <c r="C62" i="11"/>
  <c r="N61" i="11"/>
  <c r="O60" i="11"/>
  <c r="E60" i="11"/>
  <c r="C119" i="11"/>
  <c r="F112" i="11"/>
  <c r="C111" i="11"/>
  <c r="O109" i="11"/>
  <c r="P104" i="11"/>
  <c r="E101" i="11"/>
  <c r="N98" i="11"/>
  <c r="F96" i="11"/>
  <c r="C95" i="11"/>
  <c r="O93" i="11"/>
  <c r="P88" i="11"/>
  <c r="N86" i="11"/>
  <c r="P84" i="11"/>
  <c r="F84" i="11"/>
  <c r="E83" i="11"/>
  <c r="P82" i="11"/>
  <c r="F82" i="11"/>
  <c r="C81" i="11"/>
  <c r="N80" i="11"/>
  <c r="O79" i="11"/>
  <c r="E79" i="11"/>
  <c r="P78" i="11"/>
  <c r="F78" i="11"/>
  <c r="C77" i="11"/>
  <c r="N76" i="11"/>
  <c r="O75" i="11"/>
  <c r="E75" i="11"/>
  <c r="P74" i="11"/>
  <c r="F74" i="11"/>
  <c r="C73" i="11"/>
  <c r="N72" i="11"/>
  <c r="O71" i="11"/>
  <c r="E71" i="11"/>
  <c r="P70" i="11"/>
  <c r="F70" i="11"/>
  <c r="C69" i="11"/>
  <c r="N68" i="11"/>
  <c r="O67" i="11"/>
  <c r="E67" i="11"/>
  <c r="P66" i="11"/>
  <c r="F66" i="11"/>
  <c r="C65" i="11"/>
  <c r="N64" i="11"/>
  <c r="O63" i="11"/>
  <c r="E63" i="11"/>
  <c r="P62" i="11"/>
  <c r="C115" i="11"/>
  <c r="N110" i="11"/>
  <c r="F108" i="11"/>
  <c r="C107" i="11"/>
  <c r="O105" i="11"/>
  <c r="P100" i="11"/>
  <c r="E97" i="11"/>
  <c r="N94" i="11"/>
  <c r="F92" i="11"/>
  <c r="C91" i="11"/>
  <c r="O89" i="11"/>
  <c r="N84" i="11"/>
  <c r="O82" i="11"/>
  <c r="E82" i="11"/>
  <c r="P81" i="11"/>
  <c r="F81" i="11"/>
  <c r="C80" i="11"/>
  <c r="N79" i="11"/>
  <c r="O78" i="11"/>
  <c r="E78" i="11"/>
  <c r="P77" i="11"/>
  <c r="F77" i="11"/>
  <c r="C76" i="11"/>
  <c r="N75" i="11"/>
  <c r="O74" i="11"/>
  <c r="E74" i="11"/>
  <c r="P73" i="11"/>
  <c r="F73" i="11"/>
  <c r="C72" i="11"/>
  <c r="N71" i="11"/>
  <c r="O70" i="11"/>
  <c r="E70" i="11"/>
  <c r="P69" i="11"/>
  <c r="F69" i="11"/>
  <c r="C68" i="11"/>
  <c r="N67" i="11"/>
  <c r="O66" i="11"/>
  <c r="E66" i="11"/>
  <c r="P65" i="11"/>
  <c r="F65" i="11"/>
  <c r="C64" i="11"/>
  <c r="N63" i="11"/>
  <c r="O62" i="11"/>
  <c r="E62" i="11"/>
  <c r="P61" i="11"/>
  <c r="F61" i="11"/>
  <c r="E117" i="11"/>
  <c r="E109" i="11"/>
  <c r="F104" i="11"/>
  <c r="O85" i="11"/>
  <c r="P80" i="11"/>
  <c r="E77" i="11"/>
  <c r="N74" i="11"/>
  <c r="F72" i="11"/>
  <c r="C71" i="11"/>
  <c r="O69" i="11"/>
  <c r="P64" i="11"/>
  <c r="N60" i="11"/>
  <c r="C59" i="11"/>
  <c r="N58" i="11"/>
  <c r="O57" i="11"/>
  <c r="E57" i="11"/>
  <c r="P56" i="11"/>
  <c r="F56" i="11"/>
  <c r="C55" i="11"/>
  <c r="N54" i="11"/>
  <c r="O53" i="11"/>
  <c r="E53" i="11"/>
  <c r="P52" i="11"/>
  <c r="F52" i="11"/>
  <c r="C51" i="11"/>
  <c r="N50" i="11"/>
  <c r="O49" i="11"/>
  <c r="E49" i="11"/>
  <c r="P48" i="11"/>
  <c r="F48" i="11"/>
  <c r="C47" i="11"/>
  <c r="N46" i="11"/>
  <c r="O45" i="11"/>
  <c r="E45" i="11"/>
  <c r="P44" i="11"/>
  <c r="F44" i="11"/>
  <c r="C43" i="11"/>
  <c r="N42" i="11"/>
  <c r="O41" i="11"/>
  <c r="E41" i="11"/>
  <c r="P40" i="11"/>
  <c r="F40" i="11"/>
  <c r="C39" i="11"/>
  <c r="N38" i="11"/>
  <c r="O37" i="11"/>
  <c r="E37" i="11"/>
  <c r="P36" i="11"/>
  <c r="F36" i="11"/>
  <c r="C35" i="11"/>
  <c r="N34" i="11"/>
  <c r="C103" i="11"/>
  <c r="E93" i="11"/>
  <c r="F88" i="11"/>
  <c r="E85" i="11"/>
  <c r="C83" i="11"/>
  <c r="O81" i="11"/>
  <c r="P76" i="11"/>
  <c r="E73" i="11"/>
  <c r="N70" i="11"/>
  <c r="F68" i="11"/>
  <c r="C67" i="11"/>
  <c r="O65" i="11"/>
  <c r="O61" i="11"/>
  <c r="E61" i="11"/>
  <c r="F60" i="11"/>
  <c r="P59" i="11"/>
  <c r="F59" i="11"/>
  <c r="C58" i="11"/>
  <c r="N57" i="11"/>
  <c r="O56" i="11"/>
  <c r="E56" i="11"/>
  <c r="P55" i="11"/>
  <c r="F55" i="11"/>
  <c r="C54" i="11"/>
  <c r="N53" i="11"/>
  <c r="O52" i="11"/>
  <c r="E52" i="11"/>
  <c r="P51" i="11"/>
  <c r="F51" i="11"/>
  <c r="C50" i="11"/>
  <c r="N49" i="11"/>
  <c r="O48" i="11"/>
  <c r="E48" i="11"/>
  <c r="P47" i="11"/>
  <c r="F47" i="11"/>
  <c r="C46" i="11"/>
  <c r="N45" i="11"/>
  <c r="O44" i="11"/>
  <c r="E44" i="11"/>
  <c r="P43" i="11"/>
  <c r="F43" i="11"/>
  <c r="C42" i="11"/>
  <c r="N41" i="11"/>
  <c r="O40" i="11"/>
  <c r="E40" i="11"/>
  <c r="P39" i="11"/>
  <c r="F39" i="11"/>
  <c r="C38" i="11"/>
  <c r="N37" i="11"/>
  <c r="N106" i="11"/>
  <c r="O101" i="11"/>
  <c r="P96" i="11"/>
  <c r="C87" i="11"/>
  <c r="N82" i="11"/>
  <c r="F80" i="11"/>
  <c r="C79" i="11"/>
  <c r="O77" i="11"/>
  <c r="P72" i="11"/>
  <c r="E69" i="11"/>
  <c r="N66" i="11"/>
  <c r="F64" i="11"/>
  <c r="C63" i="11"/>
  <c r="F62" i="11"/>
  <c r="C61" i="11"/>
  <c r="O59" i="11"/>
  <c r="E59" i="11"/>
  <c r="P58" i="11"/>
  <c r="F58" i="11"/>
  <c r="C57" i="11"/>
  <c r="N56" i="11"/>
  <c r="O55" i="11"/>
  <c r="E55" i="11"/>
  <c r="P54" i="11"/>
  <c r="F54" i="11"/>
  <c r="C53" i="11"/>
  <c r="N52" i="11"/>
  <c r="O51" i="11"/>
  <c r="E51" i="11"/>
  <c r="P50" i="11"/>
  <c r="F50" i="11"/>
  <c r="C49" i="11"/>
  <c r="N48" i="11"/>
  <c r="O47" i="11"/>
  <c r="E47" i="11"/>
  <c r="P46" i="11"/>
  <c r="F46" i="11"/>
  <c r="C45" i="11"/>
  <c r="N44" i="11"/>
  <c r="O43" i="11"/>
  <c r="E43" i="11"/>
  <c r="P42" i="11"/>
  <c r="F42" i="11"/>
  <c r="C41" i="11"/>
  <c r="N40" i="11"/>
  <c r="O39" i="11"/>
  <c r="E39" i="11"/>
  <c r="P38" i="11"/>
  <c r="F38" i="11"/>
  <c r="C37" i="11"/>
  <c r="N36" i="11"/>
  <c r="N90" i="11"/>
  <c r="E81" i="11"/>
  <c r="F76" i="11"/>
  <c r="C60" i="11"/>
  <c r="O58" i="11"/>
  <c r="P53" i="11"/>
  <c r="E50" i="11"/>
  <c r="N47" i="11"/>
  <c r="F45" i="11"/>
  <c r="C44" i="11"/>
  <c r="O42" i="11"/>
  <c r="P37" i="11"/>
  <c r="O36" i="11"/>
  <c r="P35" i="11"/>
  <c r="F34" i="11"/>
  <c r="P33" i="11"/>
  <c r="F33" i="11"/>
  <c r="C32" i="11"/>
  <c r="N31" i="11"/>
  <c r="O30" i="11"/>
  <c r="E30" i="11"/>
  <c r="P29" i="11"/>
  <c r="F29" i="11"/>
  <c r="C28" i="11"/>
  <c r="N27" i="11"/>
  <c r="O26" i="11"/>
  <c r="E26" i="11"/>
  <c r="P25" i="11"/>
  <c r="F25" i="11"/>
  <c r="C24" i="11"/>
  <c r="N23" i="11"/>
  <c r="O22" i="11"/>
  <c r="E22" i="11"/>
  <c r="P21" i="11"/>
  <c r="F21" i="11"/>
  <c r="E20" i="11"/>
  <c r="F19" i="11"/>
  <c r="C18" i="11"/>
  <c r="F17" i="11"/>
  <c r="E16" i="11"/>
  <c r="E14" i="11"/>
  <c r="F13" i="11"/>
  <c r="C12" i="11"/>
  <c r="F11" i="11"/>
  <c r="C10" i="11"/>
  <c r="E54" i="11"/>
  <c r="F49" i="11"/>
  <c r="E35" i="11"/>
  <c r="N32" i="11"/>
  <c r="O31" i="11"/>
  <c r="N28" i="11"/>
  <c r="O27" i="11"/>
  <c r="F26" i="11"/>
  <c r="C25" i="11"/>
  <c r="O23" i="11"/>
  <c r="F22" i="11"/>
  <c r="C21" i="11"/>
  <c r="N20" i="11"/>
  <c r="F20" i="11"/>
  <c r="C17" i="11"/>
  <c r="E15" i="11"/>
  <c r="C11" i="11"/>
  <c r="C75" i="11"/>
  <c r="E65" i="11"/>
  <c r="N59" i="11"/>
  <c r="F57" i="11"/>
  <c r="C56" i="11"/>
  <c r="O54" i="11"/>
  <c r="P49" i="11"/>
  <c r="E46" i="11"/>
  <c r="N43" i="11"/>
  <c r="F41" i="11"/>
  <c r="C40" i="11"/>
  <c r="O38" i="11"/>
  <c r="E36" i="11"/>
  <c r="O35" i="11"/>
  <c r="E34" i="11"/>
  <c r="O33" i="11"/>
  <c r="E33" i="11"/>
  <c r="P32" i="11"/>
  <c r="F32" i="11"/>
  <c r="C31" i="11"/>
  <c r="N30" i="11"/>
  <c r="O29" i="11"/>
  <c r="E29" i="11"/>
  <c r="P28" i="11"/>
  <c r="F28" i="11"/>
  <c r="C27" i="11"/>
  <c r="N26" i="11"/>
  <c r="O25" i="11"/>
  <c r="E25" i="11"/>
  <c r="P24" i="11"/>
  <c r="F24" i="11"/>
  <c r="C23" i="11"/>
  <c r="N22" i="11"/>
  <c r="O21" i="11"/>
  <c r="E21" i="11"/>
  <c r="P20" i="11"/>
  <c r="J20" i="11"/>
  <c r="E19" i="11"/>
  <c r="F18" i="11"/>
  <c r="E17" i="11"/>
  <c r="O16" i="11"/>
  <c r="C15" i="11"/>
  <c r="E13" i="11"/>
  <c r="F12" i="11"/>
  <c r="E11" i="11"/>
  <c r="F10" i="11"/>
  <c r="O46" i="11"/>
  <c r="E38" i="11"/>
  <c r="C33" i="11"/>
  <c r="P30" i="11"/>
  <c r="E27" i="11"/>
  <c r="N24" i="11"/>
  <c r="P22" i="11"/>
  <c r="F16" i="11"/>
  <c r="N78" i="11"/>
  <c r="O73" i="11"/>
  <c r="P68" i="11"/>
  <c r="P60" i="11"/>
  <c r="E58" i="11"/>
  <c r="N55" i="11"/>
  <c r="F53" i="11"/>
  <c r="C52" i="11"/>
  <c r="O50" i="11"/>
  <c r="P45" i="11"/>
  <c r="E42" i="11"/>
  <c r="N39" i="11"/>
  <c r="F37" i="11"/>
  <c r="N35" i="11"/>
  <c r="F35" i="11"/>
  <c r="P34" i="11"/>
  <c r="C34" i="11"/>
  <c r="N33" i="11"/>
  <c r="O32" i="11"/>
  <c r="E32" i="11"/>
  <c r="P31" i="11"/>
  <c r="F31" i="11"/>
  <c r="C30" i="11"/>
  <c r="N29" i="11"/>
  <c r="O28" i="11"/>
  <c r="E28" i="11"/>
  <c r="P27" i="11"/>
  <c r="F27" i="11"/>
  <c r="C26" i="11"/>
  <c r="N25" i="11"/>
  <c r="O24" i="11"/>
  <c r="E24" i="11"/>
  <c r="P23" i="11"/>
  <c r="F23" i="11"/>
  <c r="C22" i="11"/>
  <c r="N21" i="11"/>
  <c r="I21" i="11"/>
  <c r="O20" i="11"/>
  <c r="I20" i="11"/>
  <c r="C20" i="11"/>
  <c r="E18" i="11"/>
  <c r="J16" i="11"/>
  <c r="C16" i="11"/>
  <c r="F15" i="11"/>
  <c r="C14" i="11"/>
  <c r="E12" i="11"/>
  <c r="E10" i="11"/>
  <c r="N62" i="11"/>
  <c r="P57" i="11"/>
  <c r="N51" i="11"/>
  <c r="C48" i="11"/>
  <c r="P41" i="11"/>
  <c r="C36" i="11"/>
  <c r="O34" i="11"/>
  <c r="E31" i="11"/>
  <c r="F30" i="11"/>
  <c r="C29" i="11"/>
  <c r="P26" i="11"/>
  <c r="E23" i="11"/>
  <c r="C19" i="11"/>
  <c r="F14" i="11"/>
  <c r="C13" i="11"/>
  <c r="J21" i="11"/>
  <c r="P12" i="11"/>
  <c r="O15" i="11"/>
  <c r="D13" i="11" l="1"/>
  <c r="D19" i="11"/>
  <c r="D29" i="11"/>
  <c r="D36" i="11"/>
  <c r="D48" i="11"/>
  <c r="D14" i="11"/>
  <c r="D16" i="11"/>
  <c r="J12" i="11"/>
  <c r="D20" i="11"/>
  <c r="K20" i="11"/>
  <c r="K21" i="11"/>
  <c r="D22" i="11"/>
  <c r="D26" i="11"/>
  <c r="D30" i="11"/>
  <c r="D34" i="11"/>
  <c r="D52" i="11"/>
  <c r="D33" i="11"/>
  <c r="D15" i="11"/>
  <c r="O17" i="11"/>
  <c r="D23" i="11"/>
  <c r="D27" i="11"/>
  <c r="D31" i="11"/>
  <c r="D40" i="11"/>
  <c r="D56" i="11"/>
  <c r="D75" i="11"/>
  <c r="D11" i="11"/>
  <c r="D17" i="11"/>
  <c r="D21" i="11"/>
  <c r="D25" i="11"/>
  <c r="D10" i="11"/>
  <c r="D12" i="11"/>
  <c r="D18" i="11"/>
  <c r="D24" i="11"/>
  <c r="D28" i="11"/>
  <c r="D32" i="11"/>
  <c r="D44" i="11"/>
  <c r="D60" i="11"/>
  <c r="D37" i="11"/>
  <c r="D41" i="11"/>
  <c r="D45" i="11"/>
  <c r="D49" i="11"/>
  <c r="D53" i="11"/>
  <c r="D57" i="11"/>
  <c r="D61" i="11"/>
  <c r="D63" i="11"/>
  <c r="D79" i="11"/>
  <c r="D87" i="11"/>
  <c r="D38" i="11"/>
  <c r="D42" i="11"/>
  <c r="D46" i="11"/>
  <c r="D50" i="11"/>
  <c r="D54" i="11"/>
  <c r="D58" i="11"/>
  <c r="D67" i="11"/>
  <c r="D83" i="11"/>
  <c r="D103" i="11"/>
  <c r="D35" i="11"/>
  <c r="D39" i="11"/>
  <c r="D43" i="11"/>
  <c r="D47" i="11"/>
  <c r="D51" i="11"/>
  <c r="D55" i="11"/>
  <c r="D59" i="11"/>
  <c r="D71" i="11"/>
  <c r="D64" i="11"/>
  <c r="D68" i="11"/>
  <c r="D72" i="11"/>
  <c r="D76" i="11"/>
  <c r="D80" i="11"/>
  <c r="D91" i="11"/>
  <c r="D107" i="11"/>
  <c r="D115" i="11"/>
  <c r="D65" i="11"/>
  <c r="D69" i="11"/>
  <c r="D73" i="11"/>
  <c r="D77" i="11"/>
  <c r="D81" i="11"/>
  <c r="D95" i="11"/>
  <c r="D111" i="11"/>
  <c r="D119" i="11"/>
  <c r="D62" i="11"/>
  <c r="D66" i="11"/>
  <c r="D70" i="11"/>
  <c r="D74" i="11"/>
  <c r="D78" i="11"/>
  <c r="D82" i="11"/>
  <c r="D85" i="11"/>
  <c r="D99" i="11"/>
  <c r="D84" i="11"/>
  <c r="D88" i="11"/>
  <c r="D92" i="11"/>
  <c r="D96" i="11"/>
  <c r="D100" i="11"/>
  <c r="D104" i="11"/>
  <c r="D108" i="11"/>
  <c r="D112" i="11"/>
  <c r="D116" i="11"/>
  <c r="E120" i="11"/>
  <c r="D120" i="11"/>
  <c r="D89" i="11"/>
  <c r="D93" i="11"/>
  <c r="D97" i="11"/>
  <c r="D101" i="11"/>
  <c r="D105" i="11"/>
  <c r="D109" i="11"/>
  <c r="D113" i="11"/>
  <c r="D117" i="11"/>
  <c r="D86" i="11"/>
  <c r="D90" i="11"/>
  <c r="D94" i="11"/>
  <c r="D98" i="11"/>
  <c r="D102" i="11"/>
  <c r="D106" i="11"/>
  <c r="D110" i="11"/>
  <c r="D114" i="11"/>
  <c r="D118" i="11"/>
  <c r="H22" i="11"/>
  <c r="I22" i="11"/>
  <c r="H23" i="11" l="1"/>
  <c r="D8" i="11"/>
  <c r="O12" i="11"/>
  <c r="I23" i="11"/>
  <c r="J22" i="11"/>
  <c r="K22" i="11" l="1"/>
  <c r="H24" i="11"/>
  <c r="J23" i="11"/>
  <c r="I24" i="11"/>
  <c r="K23" i="11" l="1"/>
  <c r="H25" i="11"/>
  <c r="I25" i="11"/>
  <c r="J24" i="11"/>
  <c r="K24" i="11" l="1"/>
  <c r="H26" i="11"/>
  <c r="J25" i="11"/>
  <c r="I26" i="11"/>
  <c r="J15" i="11"/>
  <c r="J11" i="11" l="1"/>
  <c r="J17" i="11"/>
  <c r="K25" i="11"/>
  <c r="H27" i="11"/>
  <c r="J26" i="11"/>
  <c r="I27" i="11"/>
  <c r="K26" i="11" l="1"/>
  <c r="H28" i="11"/>
  <c r="O11" i="11"/>
  <c r="K13" i="11"/>
  <c r="J13" i="11"/>
  <c r="I28" i="11"/>
  <c r="J27" i="11"/>
  <c r="K27" i="11" l="1"/>
  <c r="P13" i="11"/>
  <c r="O13" i="11"/>
  <c r="H29" i="11"/>
  <c r="I29" i="11"/>
  <c r="J28" i="11"/>
  <c r="K28" i="11" l="1"/>
  <c r="H30" i="11"/>
  <c r="J29" i="11"/>
  <c r="I30" i="11"/>
  <c r="K29" i="11" l="1"/>
  <c r="H31" i="11"/>
  <c r="J30" i="11"/>
  <c r="I31" i="11"/>
  <c r="K30" i="11" l="1"/>
  <c r="H32" i="11"/>
  <c r="I32" i="11"/>
  <c r="J31" i="11"/>
  <c r="K31" i="11" l="1"/>
  <c r="H33" i="11"/>
  <c r="J32" i="11"/>
  <c r="I33" i="11"/>
  <c r="K32" i="11" l="1"/>
  <c r="H34" i="11"/>
  <c r="I34" i="11"/>
  <c r="J33" i="11"/>
  <c r="K33" i="11" l="1"/>
  <c r="H35" i="11"/>
  <c r="J34" i="11"/>
  <c r="I35" i="11"/>
  <c r="K34" i="11" l="1"/>
  <c r="H36" i="11"/>
  <c r="I36" i="11"/>
  <c r="J35" i="11"/>
  <c r="K35" i="11" l="1"/>
  <c r="H37" i="11"/>
  <c r="J36" i="11"/>
  <c r="I37" i="11"/>
  <c r="K36" i="11" l="1"/>
  <c r="H38" i="11"/>
  <c r="I38" i="11"/>
  <c r="J37" i="11"/>
  <c r="K37" i="11" l="1"/>
  <c r="H39" i="11"/>
  <c r="J38" i="11"/>
  <c r="I39" i="11"/>
  <c r="K38" i="11" l="1"/>
  <c r="H40" i="11"/>
  <c r="J39" i="11"/>
  <c r="I40" i="11"/>
  <c r="K39" i="11" l="1"/>
  <c r="H41" i="11"/>
  <c r="J40" i="11"/>
  <c r="I41" i="11"/>
  <c r="K40" i="11" l="1"/>
  <c r="H42" i="11"/>
  <c r="J41" i="11"/>
  <c r="I42" i="11"/>
  <c r="K41" i="11" l="1"/>
  <c r="H43" i="11"/>
  <c r="I43" i="11"/>
  <c r="J42" i="11"/>
  <c r="K42" i="11" l="1"/>
  <c r="H44" i="11"/>
  <c r="J43" i="11"/>
  <c r="I44" i="11"/>
  <c r="K43" i="11" l="1"/>
  <c r="H45" i="11"/>
  <c r="I45" i="11"/>
  <c r="J44" i="11"/>
  <c r="K44" i="11" l="1"/>
  <c r="H46" i="11"/>
  <c r="J45" i="11"/>
  <c r="I46" i="11"/>
  <c r="K45" i="11" l="1"/>
  <c r="H47" i="11"/>
  <c r="J46" i="11"/>
  <c r="I47" i="11"/>
  <c r="K46" i="11" l="1"/>
  <c r="H48" i="11"/>
  <c r="I48" i="11"/>
  <c r="J47" i="11"/>
  <c r="K47" i="11" l="1"/>
  <c r="H49" i="11"/>
  <c r="J48" i="11"/>
  <c r="I49" i="11"/>
  <c r="K48" i="11" l="1"/>
  <c r="H50" i="11"/>
  <c r="J49" i="11"/>
  <c r="I50" i="11"/>
  <c r="K49" i="11" l="1"/>
  <c r="H51" i="11"/>
  <c r="J50" i="11"/>
  <c r="I51" i="11"/>
  <c r="K50" i="11" l="1"/>
  <c r="H52" i="11"/>
  <c r="J51" i="11"/>
  <c r="I52" i="11"/>
  <c r="K51" i="11" l="1"/>
  <c r="H53" i="11"/>
  <c r="I53" i="11"/>
  <c r="J52" i="11"/>
  <c r="K52" i="11" l="1"/>
  <c r="H54" i="11"/>
  <c r="J53" i="11"/>
  <c r="I54" i="11"/>
  <c r="K53" i="11" l="1"/>
  <c r="H55" i="11"/>
  <c r="I55" i="11"/>
  <c r="J54" i="11"/>
  <c r="K54" i="11" l="1"/>
  <c r="H56" i="11"/>
  <c r="J55" i="11"/>
  <c r="I56" i="11"/>
  <c r="K55" i="11" l="1"/>
  <c r="H57" i="11"/>
  <c r="I57" i="11"/>
  <c r="J56" i="11"/>
  <c r="K56" i="11" l="1"/>
  <c r="H58" i="11"/>
  <c r="J57" i="11"/>
  <c r="I58" i="11"/>
  <c r="K57" i="11" l="1"/>
  <c r="H59" i="11"/>
  <c r="I59" i="11"/>
  <c r="J58" i="11"/>
  <c r="K58" i="11" l="1"/>
  <c r="H60" i="11"/>
  <c r="I60" i="11"/>
  <c r="J59" i="11"/>
  <c r="K59" i="11" l="1"/>
  <c r="H61" i="11"/>
  <c r="J60" i="11"/>
  <c r="I61" i="11"/>
  <c r="K60" i="11" l="1"/>
  <c r="H62" i="11"/>
  <c r="I62" i="11"/>
  <c r="J61" i="11"/>
  <c r="K61" i="11" l="1"/>
  <c r="H63" i="11"/>
  <c r="J62" i="11"/>
  <c r="I63" i="11"/>
  <c r="K62" i="11" l="1"/>
  <c r="H64" i="11"/>
  <c r="J63" i="11"/>
  <c r="I64" i="11"/>
  <c r="K63" i="11" l="1"/>
  <c r="H65" i="11"/>
  <c r="J64" i="11"/>
  <c r="I65" i="11"/>
  <c r="K64" i="11" l="1"/>
  <c r="H66" i="11"/>
  <c r="I66" i="11"/>
  <c r="J65" i="11"/>
  <c r="K65" i="11" l="1"/>
  <c r="H67" i="11"/>
  <c r="J66" i="11"/>
  <c r="I67" i="11"/>
  <c r="K66" i="11" l="1"/>
  <c r="H68" i="11"/>
  <c r="J67" i="11"/>
  <c r="I68" i="11"/>
  <c r="K67" i="11" l="1"/>
  <c r="H69" i="11"/>
  <c r="J68" i="11"/>
  <c r="I69" i="11"/>
  <c r="K68" i="11" l="1"/>
  <c r="H70" i="11"/>
  <c r="I70" i="11"/>
  <c r="J69" i="11"/>
  <c r="K69" i="11" l="1"/>
  <c r="H71" i="11"/>
  <c r="J70" i="11"/>
  <c r="I71" i="11"/>
  <c r="K70" i="11" l="1"/>
  <c r="H72" i="11"/>
  <c r="J71" i="11"/>
  <c r="I72" i="11"/>
  <c r="K71" i="11" l="1"/>
  <c r="H73" i="11"/>
  <c r="J72" i="11"/>
  <c r="I73" i="11"/>
  <c r="K72" i="11" l="1"/>
  <c r="H74" i="11"/>
  <c r="J73" i="11"/>
  <c r="I74" i="11"/>
  <c r="K73" i="11" l="1"/>
  <c r="H75" i="11"/>
  <c r="J74" i="11"/>
  <c r="I75" i="11"/>
  <c r="K74" i="11" l="1"/>
  <c r="H76" i="11"/>
  <c r="I76" i="11"/>
  <c r="J75" i="11"/>
  <c r="K75" i="11" l="1"/>
  <c r="H77" i="11"/>
  <c r="J76" i="11"/>
  <c r="I77" i="11"/>
  <c r="K76" i="11" l="1"/>
  <c r="H78" i="11"/>
  <c r="J77" i="11"/>
  <c r="I78" i="11"/>
  <c r="K77" i="11" l="1"/>
  <c r="H79" i="11"/>
  <c r="J78" i="11"/>
  <c r="I79" i="11"/>
  <c r="K78" i="11" l="1"/>
  <c r="H80" i="11"/>
  <c r="J79" i="11"/>
  <c r="I80" i="11"/>
  <c r="K79" i="11" l="1"/>
  <c r="H81" i="11"/>
  <c r="J80" i="11"/>
  <c r="I81" i="11"/>
  <c r="K80" i="11" l="1"/>
  <c r="H82" i="11"/>
  <c r="J81" i="11"/>
  <c r="I82" i="11"/>
  <c r="K81" i="11" l="1"/>
  <c r="H83" i="11"/>
  <c r="J82" i="11"/>
  <c r="I83" i="11"/>
  <c r="K82" i="11" l="1"/>
  <c r="H84" i="11"/>
  <c r="I84" i="11"/>
  <c r="J83" i="11"/>
  <c r="K83" i="11" l="1"/>
  <c r="H85" i="11"/>
  <c r="I85" i="11"/>
  <c r="J84" i="11"/>
  <c r="K84" i="11" l="1"/>
  <c r="H86" i="11"/>
  <c r="I86" i="11"/>
  <c r="J85" i="11"/>
  <c r="K85" i="11" l="1"/>
  <c r="H87" i="11"/>
  <c r="I87" i="11"/>
  <c r="J86" i="11"/>
  <c r="K86" i="11" l="1"/>
  <c r="H88" i="11"/>
  <c r="J87" i="11"/>
  <c r="I88" i="11"/>
  <c r="K87" i="11" l="1"/>
  <c r="H89" i="11"/>
  <c r="J88" i="11"/>
  <c r="I89" i="11"/>
  <c r="K88" i="11" l="1"/>
  <c r="H90" i="11"/>
  <c r="I90" i="11"/>
  <c r="J89" i="11"/>
  <c r="K89" i="11" l="1"/>
  <c r="H91" i="11"/>
  <c r="J90" i="11"/>
  <c r="I91" i="11"/>
  <c r="K90" i="11" l="1"/>
  <c r="H92" i="11"/>
  <c r="J91" i="11"/>
  <c r="I92" i="11"/>
  <c r="K91" i="11" l="1"/>
  <c r="H93" i="11"/>
  <c r="I93" i="11"/>
  <c r="J92" i="11"/>
  <c r="K92" i="11" l="1"/>
  <c r="H94" i="11"/>
  <c r="I94" i="11"/>
  <c r="J93" i="11"/>
  <c r="K93" i="11" l="1"/>
  <c r="H95" i="11"/>
  <c r="J94" i="11"/>
  <c r="I95" i="11"/>
  <c r="K94" i="11" l="1"/>
  <c r="H96" i="11"/>
  <c r="J95" i="11"/>
  <c r="I96" i="11"/>
  <c r="K95" i="11" l="1"/>
  <c r="H97" i="11"/>
  <c r="J96" i="11"/>
  <c r="I97" i="11"/>
  <c r="K96" i="11" l="1"/>
  <c r="H98" i="11"/>
  <c r="I98" i="11"/>
  <c r="J97" i="11"/>
  <c r="K97" i="11" l="1"/>
  <c r="H99" i="11"/>
  <c r="I99" i="11"/>
  <c r="J98" i="11"/>
  <c r="K98" i="11" l="1"/>
  <c r="H100" i="11"/>
  <c r="I100" i="11"/>
  <c r="J99" i="11"/>
  <c r="K99" i="11" l="1"/>
  <c r="H101" i="11"/>
  <c r="J100" i="11"/>
  <c r="I101" i="11"/>
  <c r="K100" i="11" l="1"/>
  <c r="H102" i="11"/>
  <c r="I102" i="11"/>
  <c r="J101" i="11"/>
  <c r="K101" i="11" l="1"/>
  <c r="H103" i="11"/>
  <c r="J102" i="11"/>
  <c r="I103" i="11"/>
  <c r="K102" i="11" l="1"/>
  <c r="H104" i="11"/>
  <c r="J103" i="11"/>
  <c r="I104" i="11"/>
  <c r="K103" i="11" l="1"/>
  <c r="H105" i="11"/>
  <c r="I105" i="11"/>
  <c r="J104" i="11"/>
  <c r="K104" i="11" l="1"/>
  <c r="H106" i="11"/>
  <c r="I106" i="11"/>
  <c r="J105" i="11"/>
  <c r="K105" i="11" l="1"/>
  <c r="H107" i="11"/>
  <c r="J106" i="11"/>
  <c r="I107" i="11"/>
  <c r="K106" i="11" l="1"/>
  <c r="H108" i="11"/>
  <c r="J107" i="11"/>
  <c r="I108" i="11"/>
  <c r="K107" i="11" l="1"/>
  <c r="H109" i="11"/>
  <c r="J108" i="11"/>
  <c r="I109" i="11"/>
  <c r="K108" i="11" l="1"/>
  <c r="H110" i="11"/>
  <c r="I110" i="11"/>
  <c r="J109" i="11"/>
  <c r="K109" i="11" l="1"/>
  <c r="H111" i="11"/>
  <c r="J110" i="11"/>
  <c r="I111" i="11"/>
  <c r="K110" i="11" l="1"/>
  <c r="J111" i="11"/>
  <c r="K111" i="11" l="1"/>
</calcChain>
</file>

<file path=xl/sharedStrings.xml><?xml version="1.0" encoding="utf-8"?>
<sst xmlns="http://schemas.openxmlformats.org/spreadsheetml/2006/main" count="27" uniqueCount="26">
  <si>
    <t>lx</t>
  </si>
  <si>
    <t>dx</t>
  </si>
  <si>
    <t>qx</t>
  </si>
  <si>
    <t>age x</t>
  </si>
  <si>
    <t>Age</t>
  </si>
  <si>
    <t>Technical Rate</t>
  </si>
  <si>
    <t>Amount</t>
  </si>
  <si>
    <t>term</t>
  </si>
  <si>
    <t>h-1/1 q x</t>
  </si>
  <si>
    <t>nAx</t>
  </si>
  <si>
    <t>Single Premium</t>
  </si>
  <si>
    <t>U</t>
  </si>
  <si>
    <t>P</t>
  </si>
  <si>
    <t>Annual Premium</t>
  </si>
  <si>
    <t>Term (n)</t>
  </si>
  <si>
    <t>Payment (m)</t>
  </si>
  <si>
    <t>h-1/1 Ax</t>
  </si>
  <si>
    <t>Check lx</t>
  </si>
  <si>
    <t>MortalityTable</t>
  </si>
  <si>
    <t>tpx</t>
  </si>
  <si>
    <t>v^t</t>
  </si>
  <si>
    <t>tEx</t>
  </si>
  <si>
    <t>a.. x:m</t>
  </si>
  <si>
    <t>v^h</t>
  </si>
  <si>
    <t>lx saved</t>
  </si>
  <si>
    <r>
      <t xml:space="preserve">Mortality Table, France, </t>
    </r>
    <r>
      <rPr>
        <b/>
        <sz val="11"/>
        <color rgb="FF0000FF"/>
        <rFont val="Calibri"/>
        <family val="2"/>
        <scheme val="minor"/>
      </rPr>
      <t>TH 00-02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</si>
</sst>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00"/>
    <numFmt numFmtId="165" formatCode="0.000000000"/>
  </numFmts>
  <fonts count="10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rgb="FF3333FF"/>
      <name val="Arial"/>
      <family val="2"/>
    </font>
    <font>
      <b/>
      <sz val="10"/>
      <color rgb="FFFF0000"/>
      <name val="Arial"/>
      <family val="2"/>
    </font>
    <font>
      <b/>
      <sz val="10"/>
      <color rgb="FF000000"/>
      <name val="Arial"/>
      <family val="2"/>
    </font>
    <font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9FF99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0" borderId="0"/>
  </cellStyleXfs>
  <cellXfs count="48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9" fontId="3" fillId="0" borderId="4" xfId="1" applyFont="1" applyBorder="1"/>
    <xf numFmtId="0" fontId="3" fillId="0" borderId="6" xfId="0" applyFont="1" applyBorder="1"/>
    <xf numFmtId="0" fontId="0" fillId="3" borderId="0" xfId="0" applyFill="1"/>
    <xf numFmtId="0" fontId="4" fillId="3" borderId="0" xfId="0" applyFont="1" applyFill="1"/>
    <xf numFmtId="165" fontId="4" fillId="2" borderId="0" xfId="0" applyNumberFormat="1" applyFont="1" applyFill="1"/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9" xfId="0" applyFont="1" applyBorder="1" applyAlignment="1">
      <alignment horizontal="center"/>
    </xf>
    <xf numFmtId="0" fontId="7" fillId="3" borderId="0" xfId="0" applyFont="1" applyFill="1" applyAlignment="1">
      <alignment horizontal="center"/>
    </xf>
    <xf numFmtId="165" fontId="4" fillId="4" borderId="0" xfId="0" applyNumberFormat="1" applyFont="1" applyFill="1"/>
    <xf numFmtId="0" fontId="1" fillId="0" borderId="0" xfId="0" applyFont="1"/>
    <xf numFmtId="0" fontId="3" fillId="0" borderId="0" xfId="0" applyNumberFormat="1" applyFont="1" applyFill="1"/>
    <xf numFmtId="0" fontId="5" fillId="2" borderId="0" xfId="0" applyFont="1" applyFill="1"/>
    <xf numFmtId="0" fontId="5" fillId="4" borderId="0" xfId="0" applyNumberFormat="1" applyFont="1" applyFill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2" borderId="1" xfId="0" applyFont="1" applyFill="1" applyBorder="1"/>
    <xf numFmtId="0" fontId="4" fillId="2" borderId="3" xfId="0" applyFont="1" applyFill="1" applyBorder="1"/>
    <xf numFmtId="0" fontId="4" fillId="2" borderId="5" xfId="0" applyFont="1" applyFill="1" applyBorder="1"/>
    <xf numFmtId="0" fontId="5" fillId="3" borderId="0" xfId="0" applyFont="1" applyFill="1" applyAlignment="1">
      <alignment horizontal="center"/>
    </xf>
    <xf numFmtId="0" fontId="8" fillId="0" borderId="0" xfId="0" applyFont="1"/>
    <xf numFmtId="0" fontId="4" fillId="3" borderId="2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164" fontId="0" fillId="2" borderId="2" xfId="0" applyNumberFormat="1" applyFill="1" applyBorder="1"/>
    <xf numFmtId="164" fontId="0" fillId="2" borderId="4" xfId="0" applyNumberFormat="1" applyFill="1" applyBorder="1"/>
    <xf numFmtId="0" fontId="4" fillId="3" borderId="5" xfId="0" applyFont="1" applyFill="1" applyBorder="1" applyAlignment="1">
      <alignment horizontal="center"/>
    </xf>
    <xf numFmtId="0" fontId="1" fillId="3" borderId="4" xfId="0" applyFont="1" applyFill="1" applyBorder="1"/>
    <xf numFmtId="0" fontId="1" fillId="3" borderId="6" xfId="0" applyFont="1" applyFill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/>
    <xf numFmtId="164" fontId="1" fillId="3" borderId="6" xfId="0" applyNumberFormat="1" applyFont="1" applyFill="1" applyBorder="1"/>
    <xf numFmtId="1" fontId="4" fillId="3" borderId="5" xfId="0" applyNumberFormat="1" applyFont="1" applyFill="1" applyBorder="1"/>
    <xf numFmtId="0" fontId="4" fillId="4" borderId="0" xfId="0" applyNumberFormat="1" applyFont="1" applyFill="1"/>
    <xf numFmtId="0" fontId="0" fillId="2" borderId="1" xfId="0" applyFill="1" applyBorder="1" applyAlignment="1">
      <alignment horizontal="right" vertical="center"/>
    </xf>
    <xf numFmtId="0" fontId="0" fillId="2" borderId="3" xfId="0" applyFill="1" applyBorder="1" applyAlignment="1">
      <alignment horizontal="right" vertical="center"/>
    </xf>
    <xf numFmtId="1" fontId="0" fillId="2" borderId="3" xfId="0" applyNumberFormat="1" applyFill="1" applyBorder="1" applyAlignment="1">
      <alignment horizontal="right" vertical="center"/>
    </xf>
  </cellXfs>
  <cellStyles count="3">
    <cellStyle name="Normal" xfId="0" builtinId="0"/>
    <cellStyle name="Normal 2" xfId="2" xr:uid="{00000000-0005-0000-0000-000002000000}"/>
    <cellStyle name="Pourcentage" xfId="1" builtinId="5"/>
  </cellStyles>
  <dxfs count="1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colors>
    <mruColors>
      <color rgb="FF3333FF"/>
      <color rgb="FFCCFFCC"/>
      <color rgb="FFFF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19050</xdr:colOff>
          <xdr:row>2</xdr:row>
          <xdr:rowOff>9525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Mortality Table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495300</xdr:colOff>
      <xdr:row>0</xdr:row>
      <xdr:rowOff>85725</xdr:rowOff>
    </xdr:from>
    <xdr:to>
      <xdr:col>11</xdr:col>
      <xdr:colOff>333375</xdr:colOff>
      <xdr:row>3</xdr:row>
      <xdr:rowOff>85725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19675" y="85725"/>
          <a:ext cx="11144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0</xdr:colOff>
      <xdr:row>1</xdr:row>
      <xdr:rowOff>19050</xdr:rowOff>
    </xdr:from>
    <xdr:to>
      <xdr:col>14</xdr:col>
      <xdr:colOff>133350</xdr:colOff>
      <xdr:row>2</xdr:row>
      <xdr:rowOff>95250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0325" y="180975"/>
          <a:ext cx="13525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485775</xdr:colOff>
      <xdr:row>4</xdr:row>
      <xdr:rowOff>161925</xdr:rowOff>
    </xdr:from>
    <xdr:to>
      <xdr:col>14</xdr:col>
      <xdr:colOff>76200</xdr:colOff>
      <xdr:row>7</xdr:row>
      <xdr:rowOff>38100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809625"/>
          <a:ext cx="1419225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457200</xdr:colOff>
      <xdr:row>2</xdr:row>
      <xdr:rowOff>76200</xdr:rowOff>
    </xdr:from>
    <xdr:to>
      <xdr:col>16</xdr:col>
      <xdr:colOff>238125</xdr:colOff>
      <xdr:row>5</xdr:row>
      <xdr:rowOff>9525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72575" y="400050"/>
          <a:ext cx="1323975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3</xdr:row>
          <xdr:rowOff>9525</xdr:rowOff>
        </xdr:from>
        <xdr:to>
          <xdr:col>4</xdr:col>
          <xdr:colOff>0</xdr:colOff>
          <xdr:row>4</xdr:row>
          <xdr:rowOff>123825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P120"/>
  <sheetViews>
    <sheetView showGridLines="0" tabSelected="1" zoomScale="85" zoomScaleNormal="85" workbookViewId="0">
      <pane ySplit="9" topLeftCell="A10" activePane="bottomLeft" state="frozen"/>
      <selection pane="bottomLeft" activeCell="K12" sqref="K12"/>
    </sheetView>
  </sheetViews>
  <sheetFormatPr baseColWidth="10" defaultColWidth="9.140625" defaultRowHeight="12.75" x14ac:dyDescent="0.2"/>
  <cols>
    <col min="1" max="1" width="6.140625" bestFit="1" customWidth="1"/>
    <col min="2" max="2" width="12.5703125" bestFit="1" customWidth="1"/>
    <col min="3" max="3" width="9.5703125" bestFit="1" customWidth="1"/>
    <col min="4" max="4" width="8.85546875" bestFit="1" customWidth="1"/>
    <col min="5" max="5" width="7.7109375" customWidth="1"/>
    <col min="6" max="6" width="11.5703125" bestFit="1" customWidth="1"/>
    <col min="8" max="8" width="14.7109375" bestFit="1" customWidth="1"/>
    <col min="9" max="9" width="15.140625" bestFit="1" customWidth="1"/>
    <col min="10" max="10" width="12" bestFit="1" customWidth="1"/>
    <col min="11" max="11" width="11.5703125" bestFit="1" customWidth="1"/>
    <col min="14" max="14" width="11.5703125" bestFit="1" customWidth="1"/>
    <col min="15" max="15" width="12.5703125" bestFit="1" customWidth="1"/>
    <col min="16" max="16" width="11.5703125" bestFit="1" customWidth="1"/>
  </cols>
  <sheetData>
    <row r="1" spans="1:16" x14ac:dyDescent="0.2">
      <c r="H1" s="3" t="s">
        <v>4</v>
      </c>
      <c r="I1" s="4">
        <v>50</v>
      </c>
    </row>
    <row r="2" spans="1:16" x14ac:dyDescent="0.2">
      <c r="H2" s="5" t="s">
        <v>15</v>
      </c>
      <c r="I2" s="6">
        <v>5</v>
      </c>
    </row>
    <row r="3" spans="1:16" ht="15" x14ac:dyDescent="0.25">
      <c r="A3" s="31" t="s">
        <v>25</v>
      </c>
      <c r="H3" s="5" t="s">
        <v>14</v>
      </c>
      <c r="I3" s="6">
        <v>5</v>
      </c>
    </row>
    <row r="4" spans="1:16" x14ac:dyDescent="0.2">
      <c r="H4" s="5" t="s">
        <v>5</v>
      </c>
      <c r="I4" s="8">
        <v>0.01</v>
      </c>
    </row>
    <row r="5" spans="1:16" ht="13.5" thickBot="1" x14ac:dyDescent="0.25">
      <c r="H5" s="7" t="s">
        <v>6</v>
      </c>
      <c r="I5" s="9">
        <v>100</v>
      </c>
    </row>
    <row r="6" spans="1:16" x14ac:dyDescent="0.2">
      <c r="L6" s="20"/>
    </row>
    <row r="8" spans="1:16" ht="13.5" thickBot="1" x14ac:dyDescent="0.25">
      <c r="B8" s="19" t="s">
        <v>18</v>
      </c>
      <c r="C8" s="19"/>
      <c r="D8" s="30">
        <f>SUM(D10:D116)</f>
        <v>0</v>
      </c>
    </row>
    <row r="9" spans="1:16" ht="13.5" thickBot="1" x14ac:dyDescent="0.25">
      <c r="A9" s="13" t="s">
        <v>3</v>
      </c>
      <c r="B9" s="16" t="s">
        <v>0</v>
      </c>
      <c r="C9" s="24" t="s">
        <v>24</v>
      </c>
      <c r="D9" s="25" t="s">
        <v>17</v>
      </c>
      <c r="E9" s="14" t="s">
        <v>1</v>
      </c>
      <c r="F9" s="16" t="s">
        <v>2</v>
      </c>
    </row>
    <row r="10" spans="1:16" x14ac:dyDescent="0.2">
      <c r="A10" s="40">
        <v>0</v>
      </c>
      <c r="B10" s="41">
        <v>100000</v>
      </c>
      <c r="C10" s="27">
        <f t="shared" ref="C10:C41" si="0">lx(A10)</f>
        <v>100000</v>
      </c>
      <c r="D10" s="32">
        <f t="shared" ref="D10:D41" si="1">(B10&lt;&gt;C10)*1</f>
        <v>0</v>
      </c>
      <c r="E10" s="45">
        <f t="shared" ref="E10:E41" si="2">dx(A10)</f>
        <v>489</v>
      </c>
      <c r="F10" s="35">
        <f t="shared" ref="F10:F41" si="3">qx(A10)</f>
        <v>4.8900000000000002E-3</v>
      </c>
      <c r="J10" s="15" t="s">
        <v>11</v>
      </c>
      <c r="O10" s="15" t="s">
        <v>12</v>
      </c>
    </row>
    <row r="11" spans="1:16" x14ac:dyDescent="0.2">
      <c r="A11" s="26">
        <f t="shared" ref="A11:A42" si="4">A10+1</f>
        <v>1</v>
      </c>
      <c r="B11" s="38">
        <v>99511</v>
      </c>
      <c r="C11" s="28">
        <f t="shared" si="0"/>
        <v>99511</v>
      </c>
      <c r="D11" s="33">
        <f t="shared" si="1"/>
        <v>0</v>
      </c>
      <c r="E11" s="46">
        <f t="shared" si="2"/>
        <v>38</v>
      </c>
      <c r="F11" s="36">
        <f t="shared" si="3"/>
        <v>3.8186733124981158E-4</v>
      </c>
      <c r="I11" s="2" t="s">
        <v>10</v>
      </c>
      <c r="J11" s="22">
        <f ca="1">I5*J15</f>
        <v>3.2104994716798472</v>
      </c>
      <c r="N11" s="2" t="s">
        <v>13</v>
      </c>
      <c r="O11" s="21">
        <f ca="1">J11/O15</f>
        <v>0.66309390174204563</v>
      </c>
    </row>
    <row r="12" spans="1:16" x14ac:dyDescent="0.2">
      <c r="A12" s="26">
        <f t="shared" si="4"/>
        <v>2</v>
      </c>
      <c r="B12" s="38">
        <v>99473</v>
      </c>
      <c r="C12" s="28">
        <f t="shared" si="0"/>
        <v>99473</v>
      </c>
      <c r="D12" s="33">
        <f t="shared" si="1"/>
        <v>0</v>
      </c>
      <c r="E12" s="46">
        <f t="shared" si="2"/>
        <v>27</v>
      </c>
      <c r="F12" s="36">
        <f t="shared" si="3"/>
        <v>2.7143043841042295E-4</v>
      </c>
      <c r="J12" s="22">
        <f>I5*J16</f>
        <v>3.2104994716798472</v>
      </c>
      <c r="K12" s="22" t="e">
        <f ca="1">SinglePremiumTA(I1,I3,I4,I5)</f>
        <v>#NAME?</v>
      </c>
      <c r="O12" s="21">
        <f>J12/O16</f>
        <v>0.66309390174204563</v>
      </c>
      <c r="P12" s="21" t="e">
        <f ca="1">AnnualPremium(K12,I1,I2,I4)</f>
        <v>#NAME?</v>
      </c>
    </row>
    <row r="13" spans="1:16" x14ac:dyDescent="0.2">
      <c r="A13" s="26">
        <f t="shared" si="4"/>
        <v>3</v>
      </c>
      <c r="B13" s="38">
        <v>99446</v>
      </c>
      <c r="C13" s="28">
        <f t="shared" si="0"/>
        <v>99446</v>
      </c>
      <c r="D13" s="33">
        <f t="shared" si="1"/>
        <v>0</v>
      </c>
      <c r="E13" s="46">
        <f t="shared" si="2"/>
        <v>22</v>
      </c>
      <c r="F13" s="36">
        <f t="shared" si="3"/>
        <v>2.2122558976731091E-4</v>
      </c>
      <c r="J13" s="17" t="str">
        <f ca="1">IF(J12=J11,"OK","error")</f>
        <v>OK</v>
      </c>
      <c r="K13" s="17" t="e">
        <f ca="1">IF(K12=J11,"OK","error")</f>
        <v>#NAME?</v>
      </c>
      <c r="O13" s="17" t="str">
        <f ca="1">IF(O12=O11,"OK","error")</f>
        <v>OK</v>
      </c>
      <c r="P13" s="17" t="e">
        <f ca="1">IF(P12=O11,"OK","error")</f>
        <v>#NAME?</v>
      </c>
    </row>
    <row r="14" spans="1:16" x14ac:dyDescent="0.2">
      <c r="A14" s="26">
        <f t="shared" si="4"/>
        <v>4</v>
      </c>
      <c r="B14" s="38">
        <v>99424</v>
      </c>
      <c r="C14" s="28">
        <f t="shared" si="0"/>
        <v>99424</v>
      </c>
      <c r="D14" s="33">
        <f t="shared" si="1"/>
        <v>0</v>
      </c>
      <c r="E14" s="46">
        <f t="shared" si="2"/>
        <v>18</v>
      </c>
      <c r="F14" s="36">
        <f t="shared" si="3"/>
        <v>1.8104280656581912E-4</v>
      </c>
    </row>
    <row r="15" spans="1:16" x14ac:dyDescent="0.2">
      <c r="A15" s="26">
        <f t="shared" si="4"/>
        <v>5</v>
      </c>
      <c r="B15" s="38">
        <v>99406</v>
      </c>
      <c r="C15" s="28">
        <f t="shared" si="0"/>
        <v>99406</v>
      </c>
      <c r="D15" s="33">
        <f t="shared" si="1"/>
        <v>0</v>
      </c>
      <c r="E15" s="46">
        <f t="shared" si="2"/>
        <v>16</v>
      </c>
      <c r="F15" s="36">
        <f t="shared" si="3"/>
        <v>1.6095607910991287E-4</v>
      </c>
      <c r="I15" s="2" t="s">
        <v>9</v>
      </c>
      <c r="J15" s="18">
        <f ca="1">SUM(INDIRECT("K20"&amp;":K"&amp;(20+I3-1)))</f>
        <v>3.2104994716798473E-2</v>
      </c>
      <c r="N15" s="1" t="s">
        <v>22</v>
      </c>
      <c r="O15" s="12">
        <f ca="1">SUM(INDIRECT("P20"&amp;":P"&amp;(20+I2-1)))</f>
        <v>4.8416965730575878</v>
      </c>
    </row>
    <row r="16" spans="1:16" x14ac:dyDescent="0.2">
      <c r="A16" s="26">
        <f t="shared" si="4"/>
        <v>6</v>
      </c>
      <c r="B16" s="38">
        <v>99390</v>
      </c>
      <c r="C16" s="28">
        <f t="shared" si="0"/>
        <v>99390</v>
      </c>
      <c r="D16" s="33">
        <f t="shared" si="1"/>
        <v>0</v>
      </c>
      <c r="E16" s="46">
        <f t="shared" si="2"/>
        <v>14</v>
      </c>
      <c r="F16" s="36">
        <f t="shared" si="3"/>
        <v>1.4085924137237146E-4</v>
      </c>
      <c r="J16" s="44">
        <f>nax(I1,I3,I4)</f>
        <v>3.2104994716798473E-2</v>
      </c>
      <c r="O16" s="12">
        <f>AnnuityFactor(I1,I2,I4)</f>
        <v>4.8416965730575878</v>
      </c>
    </row>
    <row r="17" spans="1:16" x14ac:dyDescent="0.2">
      <c r="A17" s="26">
        <f t="shared" si="4"/>
        <v>7</v>
      </c>
      <c r="B17" s="38">
        <v>99376</v>
      </c>
      <c r="C17" s="28">
        <f t="shared" si="0"/>
        <v>99376</v>
      </c>
      <c r="D17" s="33">
        <f t="shared" si="1"/>
        <v>0</v>
      </c>
      <c r="E17" s="46">
        <f t="shared" si="2"/>
        <v>13</v>
      </c>
      <c r="F17" s="36">
        <f t="shared" si="3"/>
        <v>1.308162936725165E-4</v>
      </c>
      <c r="J17" s="17" t="str">
        <f ca="1">IF(J16=J15,"OK","error")</f>
        <v>OK</v>
      </c>
      <c r="O17" s="17" t="str">
        <f ca="1">IF(O16=O15,"OK","error")</f>
        <v>OK</v>
      </c>
    </row>
    <row r="18" spans="1:16" x14ac:dyDescent="0.2">
      <c r="A18" s="26">
        <f t="shared" si="4"/>
        <v>8</v>
      </c>
      <c r="B18" s="38">
        <v>99363</v>
      </c>
      <c r="C18" s="28">
        <f t="shared" si="0"/>
        <v>99363</v>
      </c>
      <c r="D18" s="33">
        <f t="shared" si="1"/>
        <v>0</v>
      </c>
      <c r="E18" s="46">
        <f t="shared" si="2"/>
        <v>13</v>
      </c>
      <c r="F18" s="36">
        <f t="shared" si="3"/>
        <v>1.3083340881414612E-4</v>
      </c>
    </row>
    <row r="19" spans="1:16" x14ac:dyDescent="0.2">
      <c r="A19" s="26">
        <f t="shared" si="4"/>
        <v>9</v>
      </c>
      <c r="B19" s="38">
        <v>99350</v>
      </c>
      <c r="C19" s="28">
        <f t="shared" si="0"/>
        <v>99350</v>
      </c>
      <c r="D19" s="33">
        <f t="shared" si="1"/>
        <v>0</v>
      </c>
      <c r="E19" s="46">
        <f t="shared" si="2"/>
        <v>12</v>
      </c>
      <c r="F19" s="36">
        <f t="shared" si="3"/>
        <v>1.2078510317060895E-4</v>
      </c>
      <c r="H19" s="15" t="s">
        <v>7</v>
      </c>
      <c r="I19" s="23" t="s">
        <v>23</v>
      </c>
      <c r="J19" s="15" t="s">
        <v>8</v>
      </c>
      <c r="K19" s="15" t="s">
        <v>16</v>
      </c>
      <c r="M19" s="15" t="s">
        <v>7</v>
      </c>
      <c r="N19" s="15" t="s">
        <v>19</v>
      </c>
      <c r="O19" s="15" t="s">
        <v>20</v>
      </c>
      <c r="P19" s="15" t="s">
        <v>21</v>
      </c>
    </row>
    <row r="20" spans="1:16" x14ac:dyDescent="0.2">
      <c r="A20" s="26">
        <f t="shared" si="4"/>
        <v>10</v>
      </c>
      <c r="B20" s="38">
        <v>99338</v>
      </c>
      <c r="C20" s="28">
        <f t="shared" si="0"/>
        <v>99338</v>
      </c>
      <c r="D20" s="33">
        <f t="shared" si="1"/>
        <v>0</v>
      </c>
      <c r="E20" s="46">
        <f t="shared" si="2"/>
        <v>13</v>
      </c>
      <c r="F20" s="36">
        <f t="shared" si="3"/>
        <v>1.3086633513861764E-4</v>
      </c>
      <c r="H20" s="11">
        <v>1</v>
      </c>
      <c r="I20" s="18">
        <f t="shared" ref="I20:I51" si="5">techDF(H20,$I$4)</f>
        <v>0.99009900990099009</v>
      </c>
      <c r="J20" s="18">
        <f t="shared" ref="J20:J51" si="6">n_1qx($I$1,H20-1)</f>
        <v>5.822981366459627E-3</v>
      </c>
      <c r="K20" s="18">
        <f t="shared" ref="K20:K51" si="7">I20*J20</f>
        <v>5.7653280856035912E-3</v>
      </c>
      <c r="M20" s="11">
        <v>0</v>
      </c>
      <c r="N20" s="12">
        <f t="shared" ref="N20:N51" si="8">npx($I$1,M20)</f>
        <v>1</v>
      </c>
      <c r="O20" s="12">
        <f t="shared" ref="O20:O51" si="9">techDF(M20,$I$4)</f>
        <v>1</v>
      </c>
      <c r="P20" s="12">
        <f t="shared" ref="P20:P51" si="10">nEx($I$1,M20,$I$4)</f>
        <v>1</v>
      </c>
    </row>
    <row r="21" spans="1:16" x14ac:dyDescent="0.2">
      <c r="A21" s="26">
        <f t="shared" si="4"/>
        <v>11</v>
      </c>
      <c r="B21" s="38">
        <v>99325</v>
      </c>
      <c r="C21" s="28">
        <f t="shared" si="0"/>
        <v>99325</v>
      </c>
      <c r="D21" s="33">
        <f t="shared" si="1"/>
        <v>0</v>
      </c>
      <c r="E21" s="46">
        <f t="shared" si="2"/>
        <v>13</v>
      </c>
      <c r="F21" s="36">
        <f t="shared" si="3"/>
        <v>1.3088346337780015E-4</v>
      </c>
      <c r="H21" s="10">
        <f t="shared" ref="H21:H52" si="11">H20+1</f>
        <v>2</v>
      </c>
      <c r="I21" s="18">
        <f t="shared" si="5"/>
        <v>0.98029604940692083</v>
      </c>
      <c r="J21" s="18">
        <f t="shared" si="6"/>
        <v>6.2003968253968251E-3</v>
      </c>
      <c r="K21" s="18">
        <f t="shared" si="7"/>
        <v>6.0782245126917208E-3</v>
      </c>
      <c r="M21" s="10">
        <f t="shared" ref="M21:M52" si="12">M20+1</f>
        <v>1</v>
      </c>
      <c r="N21" s="12">
        <f t="shared" si="8"/>
        <v>0.99417701863354035</v>
      </c>
      <c r="O21" s="12">
        <f t="shared" si="9"/>
        <v>0.99009900990099009</v>
      </c>
      <c r="P21" s="12">
        <f t="shared" si="10"/>
        <v>0.9843336818153865</v>
      </c>
    </row>
    <row r="22" spans="1:16" x14ac:dyDescent="0.2">
      <c r="A22" s="26">
        <f t="shared" si="4"/>
        <v>12</v>
      </c>
      <c r="B22" s="38">
        <v>99312</v>
      </c>
      <c r="C22" s="28">
        <f t="shared" si="0"/>
        <v>99312</v>
      </c>
      <c r="D22" s="33">
        <f t="shared" si="1"/>
        <v>0</v>
      </c>
      <c r="E22" s="46">
        <f t="shared" si="2"/>
        <v>16</v>
      </c>
      <c r="F22" s="36">
        <f t="shared" si="3"/>
        <v>1.6110842597067828E-4</v>
      </c>
      <c r="H22" s="10">
        <f t="shared" si="11"/>
        <v>3</v>
      </c>
      <c r="I22" s="18">
        <f t="shared" si="5"/>
        <v>0.97059014792764431</v>
      </c>
      <c r="J22" s="18">
        <f t="shared" si="6"/>
        <v>6.599378881987578E-3</v>
      </c>
      <c r="K22" s="18">
        <f t="shared" si="7"/>
        <v>6.4052921252988953E-3</v>
      </c>
      <c r="M22" s="10">
        <f t="shared" si="12"/>
        <v>2</v>
      </c>
      <c r="N22" s="12">
        <f t="shared" si="8"/>
        <v>0.9879766218081435</v>
      </c>
      <c r="O22" s="12">
        <f t="shared" si="9"/>
        <v>0.98029604940692083</v>
      </c>
      <c r="P22" s="12">
        <f t="shared" si="10"/>
        <v>0.96850957926491854</v>
      </c>
    </row>
    <row r="23" spans="1:16" x14ac:dyDescent="0.2">
      <c r="A23" s="26">
        <f t="shared" si="4"/>
        <v>13</v>
      </c>
      <c r="B23" s="38">
        <v>99296</v>
      </c>
      <c r="C23" s="28">
        <f t="shared" si="0"/>
        <v>99296</v>
      </c>
      <c r="D23" s="33">
        <f t="shared" si="1"/>
        <v>0</v>
      </c>
      <c r="E23" s="46">
        <f t="shared" si="2"/>
        <v>20</v>
      </c>
      <c r="F23" s="36">
        <f t="shared" si="3"/>
        <v>2.014179825974863E-4</v>
      </c>
      <c r="H23" s="10">
        <f t="shared" si="11"/>
        <v>4</v>
      </c>
      <c r="I23" s="18">
        <f t="shared" si="5"/>
        <v>0.96098034448281622</v>
      </c>
      <c r="J23" s="18">
        <f t="shared" si="6"/>
        <v>7.019927536231884E-3</v>
      </c>
      <c r="K23" s="18">
        <f t="shared" si="7"/>
        <v>6.7460123820125232E-3</v>
      </c>
      <c r="M23" s="10">
        <f t="shared" si="12"/>
        <v>3</v>
      </c>
      <c r="N23" s="12">
        <f t="shared" si="8"/>
        <v>0.98137724292615602</v>
      </c>
      <c r="O23" s="12">
        <f t="shared" si="9"/>
        <v>0.97059014792764431</v>
      </c>
      <c r="P23" s="12">
        <f t="shared" si="10"/>
        <v>0.95251508338452151</v>
      </c>
    </row>
    <row r="24" spans="1:16" x14ac:dyDescent="0.2">
      <c r="A24" s="26">
        <f t="shared" si="4"/>
        <v>14</v>
      </c>
      <c r="B24" s="38">
        <v>99276</v>
      </c>
      <c r="C24" s="28">
        <f t="shared" si="0"/>
        <v>99276</v>
      </c>
      <c r="D24" s="33">
        <f t="shared" si="1"/>
        <v>0</v>
      </c>
      <c r="E24" s="46">
        <f t="shared" si="2"/>
        <v>26</v>
      </c>
      <c r="F24" s="36">
        <f t="shared" si="3"/>
        <v>2.6189612796647727E-4</v>
      </c>
      <c r="H24" s="10">
        <f t="shared" si="11"/>
        <v>5</v>
      </c>
      <c r="I24" s="18">
        <f t="shared" si="5"/>
        <v>0.95146568760674866</v>
      </c>
      <c r="J24" s="18">
        <f t="shared" si="6"/>
        <v>7.472826086956522E-3</v>
      </c>
      <c r="K24" s="18">
        <f t="shared" si="7"/>
        <v>7.110137611191736E-3</v>
      </c>
      <c r="M24" s="10">
        <f t="shared" si="12"/>
        <v>4</v>
      </c>
      <c r="N24" s="12">
        <f t="shared" si="8"/>
        <v>0.97435731538992409</v>
      </c>
      <c r="O24" s="12">
        <f t="shared" si="9"/>
        <v>0.96098034448281622</v>
      </c>
      <c r="P24" s="12">
        <f t="shared" si="10"/>
        <v>0.93633822859276128</v>
      </c>
    </row>
    <row r="25" spans="1:16" x14ac:dyDescent="0.2">
      <c r="A25" s="26">
        <f t="shared" si="4"/>
        <v>15</v>
      </c>
      <c r="B25" s="38">
        <v>99250</v>
      </c>
      <c r="C25" s="28">
        <f t="shared" si="0"/>
        <v>99250</v>
      </c>
      <c r="D25" s="33">
        <f t="shared" si="1"/>
        <v>0</v>
      </c>
      <c r="E25" s="46">
        <f t="shared" si="2"/>
        <v>37</v>
      </c>
      <c r="F25" s="36">
        <f t="shared" si="3"/>
        <v>3.7279596977329973E-4</v>
      </c>
      <c r="H25" s="10">
        <f t="shared" si="11"/>
        <v>6</v>
      </c>
      <c r="I25" s="18">
        <f t="shared" si="5"/>
        <v>0.94204523525420658</v>
      </c>
      <c r="J25" s="18">
        <f t="shared" si="6"/>
        <v>7.9365079365079361E-3</v>
      </c>
      <c r="K25" s="18">
        <f t="shared" si="7"/>
        <v>7.4765494861444961E-3</v>
      </c>
      <c r="M25" s="10">
        <f t="shared" si="12"/>
        <v>5</v>
      </c>
      <c r="N25" s="12">
        <f t="shared" si="8"/>
        <v>0.96688448930296755</v>
      </c>
      <c r="O25" s="12">
        <f t="shared" si="9"/>
        <v>0.95146568760674866</v>
      </c>
      <c r="P25" s="12">
        <f t="shared" si="10"/>
        <v>0.919957415450948</v>
      </c>
    </row>
    <row r="26" spans="1:16" x14ac:dyDescent="0.2">
      <c r="A26" s="26">
        <f t="shared" si="4"/>
        <v>16</v>
      </c>
      <c r="B26" s="38">
        <v>99213</v>
      </c>
      <c r="C26" s="28">
        <f t="shared" si="0"/>
        <v>99213</v>
      </c>
      <c r="D26" s="33">
        <f t="shared" si="1"/>
        <v>0</v>
      </c>
      <c r="E26" s="46">
        <f t="shared" si="2"/>
        <v>50</v>
      </c>
      <c r="F26" s="36">
        <f t="shared" si="3"/>
        <v>5.0396621410500641E-4</v>
      </c>
      <c r="H26" s="10">
        <f t="shared" si="11"/>
        <v>7</v>
      </c>
      <c r="I26" s="18">
        <f t="shared" si="5"/>
        <v>0.93271805470713531</v>
      </c>
      <c r="J26" s="18">
        <f t="shared" si="6"/>
        <v>8.389406487232574E-3</v>
      </c>
      <c r="K26" s="18">
        <f t="shared" si="7"/>
        <v>7.8249508989189885E-3</v>
      </c>
      <c r="M26" s="10">
        <f t="shared" si="12"/>
        <v>6</v>
      </c>
      <c r="N26" s="12">
        <f t="shared" si="8"/>
        <v>0.95894798136645965</v>
      </c>
      <c r="O26" s="12">
        <f t="shared" si="9"/>
        <v>0.94204523525420658</v>
      </c>
      <c r="P26" s="12">
        <f t="shared" si="10"/>
        <v>0.90337237670291304</v>
      </c>
    </row>
    <row r="27" spans="1:16" x14ac:dyDescent="0.2">
      <c r="A27" s="26">
        <f t="shared" si="4"/>
        <v>17</v>
      </c>
      <c r="B27" s="38">
        <v>99163</v>
      </c>
      <c r="C27" s="28">
        <f t="shared" si="0"/>
        <v>99163</v>
      </c>
      <c r="D27" s="33">
        <f t="shared" si="1"/>
        <v>0</v>
      </c>
      <c r="E27" s="46">
        <f t="shared" si="2"/>
        <v>66</v>
      </c>
      <c r="F27" s="36">
        <f t="shared" si="3"/>
        <v>6.6557082782892811E-4</v>
      </c>
      <c r="H27" s="10">
        <f t="shared" si="11"/>
        <v>8</v>
      </c>
      <c r="I27" s="18">
        <f t="shared" si="5"/>
        <v>0.92348322248231218</v>
      </c>
      <c r="J27" s="18">
        <f t="shared" si="6"/>
        <v>8.863871635610766E-3</v>
      </c>
      <c r="K27" s="18">
        <f t="shared" si="7"/>
        <v>8.1856367417233941E-3</v>
      </c>
      <c r="M27" s="10">
        <f t="shared" si="12"/>
        <v>7</v>
      </c>
      <c r="N27" s="12">
        <f t="shared" si="8"/>
        <v>0.95055857487922701</v>
      </c>
      <c r="O27" s="12">
        <f t="shared" si="9"/>
        <v>0.93271805470713531</v>
      </c>
      <c r="P27" s="12">
        <f t="shared" si="10"/>
        <v>0.88660314484653946</v>
      </c>
    </row>
    <row r="28" spans="1:16" x14ac:dyDescent="0.2">
      <c r="A28" s="26">
        <f t="shared" si="4"/>
        <v>18</v>
      </c>
      <c r="B28" s="38">
        <v>99097</v>
      </c>
      <c r="C28" s="28">
        <f t="shared" si="0"/>
        <v>99097</v>
      </c>
      <c r="D28" s="33">
        <f t="shared" si="1"/>
        <v>0</v>
      </c>
      <c r="E28" s="46">
        <f t="shared" si="2"/>
        <v>82</v>
      </c>
      <c r="F28" s="36">
        <f t="shared" si="3"/>
        <v>8.2747207281754236E-4</v>
      </c>
      <c r="H28" s="10">
        <f t="shared" si="11"/>
        <v>9</v>
      </c>
      <c r="I28" s="18">
        <f t="shared" si="5"/>
        <v>0.91433982423991311</v>
      </c>
      <c r="J28" s="18">
        <f t="shared" si="6"/>
        <v>9.3706866804692899E-3</v>
      </c>
      <c r="K28" s="18">
        <f t="shared" si="7"/>
        <v>8.567992012427585E-3</v>
      </c>
      <c r="M28" s="10">
        <f t="shared" si="12"/>
        <v>8</v>
      </c>
      <c r="N28" s="12">
        <f t="shared" si="8"/>
        <v>0.94169470324361626</v>
      </c>
      <c r="O28" s="12">
        <f t="shared" si="9"/>
        <v>0.92348322248231218</v>
      </c>
      <c r="P28" s="12">
        <f t="shared" si="10"/>
        <v>0.86963925914593943</v>
      </c>
    </row>
    <row r="29" spans="1:16" x14ac:dyDescent="0.2">
      <c r="A29" s="26">
        <f t="shared" si="4"/>
        <v>19</v>
      </c>
      <c r="B29" s="38">
        <v>99015</v>
      </c>
      <c r="C29" s="28">
        <f t="shared" si="0"/>
        <v>99015</v>
      </c>
      <c r="D29" s="33">
        <f t="shared" si="1"/>
        <v>0</v>
      </c>
      <c r="E29" s="46">
        <f t="shared" si="2"/>
        <v>94</v>
      </c>
      <c r="F29" s="36">
        <f t="shared" si="3"/>
        <v>9.4935110841791643E-4</v>
      </c>
      <c r="H29" s="10">
        <f t="shared" si="11"/>
        <v>10</v>
      </c>
      <c r="I29" s="18">
        <f t="shared" si="5"/>
        <v>0.90528695469298326</v>
      </c>
      <c r="J29" s="18">
        <f t="shared" si="6"/>
        <v>9.9422015182884741E-3</v>
      </c>
      <c r="K29" s="18">
        <f t="shared" si="7"/>
        <v>9.0005453354353275E-3</v>
      </c>
      <c r="M29" s="10">
        <f t="shared" si="12"/>
        <v>9</v>
      </c>
      <c r="N29" s="12">
        <f t="shared" si="8"/>
        <v>0.93232401656314701</v>
      </c>
      <c r="O29" s="12">
        <f t="shared" si="9"/>
        <v>0.91433982423991311</v>
      </c>
      <c r="P29" s="12">
        <f t="shared" si="10"/>
        <v>0.85246097743899762</v>
      </c>
    </row>
    <row r="30" spans="1:16" x14ac:dyDescent="0.2">
      <c r="A30" s="26">
        <f t="shared" si="4"/>
        <v>20</v>
      </c>
      <c r="B30" s="38">
        <v>98921</v>
      </c>
      <c r="C30" s="28">
        <f t="shared" si="0"/>
        <v>98921</v>
      </c>
      <c r="D30" s="33">
        <f t="shared" si="1"/>
        <v>0</v>
      </c>
      <c r="E30" s="46">
        <f t="shared" si="2"/>
        <v>101</v>
      </c>
      <c r="F30" s="36">
        <f t="shared" si="3"/>
        <v>1.0210167709586437E-3</v>
      </c>
      <c r="H30" s="10">
        <f t="shared" si="11"/>
        <v>11</v>
      </c>
      <c r="I30" s="18">
        <f t="shared" si="5"/>
        <v>0.89632371751780526</v>
      </c>
      <c r="J30" s="18">
        <f t="shared" si="6"/>
        <v>1.0567632850241546E-2</v>
      </c>
      <c r="K30" s="18">
        <f t="shared" si="7"/>
        <v>9.4720199616917834E-3</v>
      </c>
      <c r="M30" s="10">
        <f t="shared" si="12"/>
        <v>10</v>
      </c>
      <c r="N30" s="12">
        <f t="shared" si="8"/>
        <v>0.9223818150448585</v>
      </c>
      <c r="O30" s="12">
        <f t="shared" si="9"/>
        <v>0.90528695469298326</v>
      </c>
      <c r="P30" s="12">
        <f t="shared" si="10"/>
        <v>0.83502022440614643</v>
      </c>
    </row>
    <row r="31" spans="1:16" x14ac:dyDescent="0.2">
      <c r="A31" s="26">
        <f t="shared" si="4"/>
        <v>21</v>
      </c>
      <c r="B31" s="38">
        <v>98820</v>
      </c>
      <c r="C31" s="28">
        <f t="shared" si="0"/>
        <v>98820</v>
      </c>
      <c r="D31" s="33">
        <f t="shared" si="1"/>
        <v>0</v>
      </c>
      <c r="E31" s="46">
        <f t="shared" si="2"/>
        <v>104</v>
      </c>
      <c r="F31" s="36">
        <f t="shared" si="3"/>
        <v>1.0524185387573365E-3</v>
      </c>
      <c r="H31" s="10">
        <f t="shared" si="11"/>
        <v>12</v>
      </c>
      <c r="I31" s="18">
        <f t="shared" si="5"/>
        <v>0.88744922526515368</v>
      </c>
      <c r="J31" s="18">
        <f t="shared" si="6"/>
        <v>1.125776397515528E-2</v>
      </c>
      <c r="K31" s="18">
        <f t="shared" si="7"/>
        <v>9.9906939179695096E-3</v>
      </c>
      <c r="M31" s="10">
        <f t="shared" si="12"/>
        <v>11</v>
      </c>
      <c r="N31" s="12">
        <f t="shared" si="8"/>
        <v>0.91181418219461696</v>
      </c>
      <c r="O31" s="12">
        <f t="shared" si="9"/>
        <v>0.89632371751780526</v>
      </c>
      <c r="P31" s="12">
        <f t="shared" si="10"/>
        <v>0.81728067747013644</v>
      </c>
    </row>
    <row r="32" spans="1:16" x14ac:dyDescent="0.2">
      <c r="A32" s="26">
        <f t="shared" si="4"/>
        <v>22</v>
      </c>
      <c r="B32" s="38">
        <v>98716</v>
      </c>
      <c r="C32" s="28">
        <f t="shared" si="0"/>
        <v>98716</v>
      </c>
      <c r="D32" s="33">
        <f t="shared" si="1"/>
        <v>0</v>
      </c>
      <c r="E32" s="46">
        <f t="shared" si="2"/>
        <v>104</v>
      </c>
      <c r="F32" s="36">
        <f t="shared" si="3"/>
        <v>1.0535272904088496E-3</v>
      </c>
      <c r="H32" s="10">
        <f t="shared" si="11"/>
        <v>13</v>
      </c>
      <c r="I32" s="18">
        <f t="shared" si="5"/>
        <v>0.87866259927242929</v>
      </c>
      <c r="J32" s="18">
        <f t="shared" si="6"/>
        <v>1.2023378191856452E-2</v>
      </c>
      <c r="K32" s="18">
        <f t="shared" si="7"/>
        <v>1.0564492734092032E-2</v>
      </c>
      <c r="M32" s="10">
        <f t="shared" si="12"/>
        <v>12</v>
      </c>
      <c r="N32" s="12">
        <f t="shared" si="8"/>
        <v>0.90055641821946175</v>
      </c>
      <c r="O32" s="12">
        <f t="shared" si="9"/>
        <v>0.88744922526515368</v>
      </c>
      <c r="P32" s="12">
        <f t="shared" si="10"/>
        <v>0.79919809565642308</v>
      </c>
    </row>
    <row r="33" spans="1:16" x14ac:dyDescent="0.2">
      <c r="A33" s="26">
        <f t="shared" si="4"/>
        <v>23</v>
      </c>
      <c r="B33" s="38">
        <v>98612</v>
      </c>
      <c r="C33" s="28">
        <f t="shared" si="0"/>
        <v>98612</v>
      </c>
      <c r="D33" s="33">
        <f t="shared" si="1"/>
        <v>0</v>
      </c>
      <c r="E33" s="46">
        <f t="shared" si="2"/>
        <v>103</v>
      </c>
      <c r="F33" s="36">
        <f t="shared" si="3"/>
        <v>1.0444976270636433E-3</v>
      </c>
      <c r="H33" s="10">
        <f t="shared" si="11"/>
        <v>14</v>
      </c>
      <c r="I33" s="18">
        <f t="shared" si="5"/>
        <v>0.86996296957666264</v>
      </c>
      <c r="J33" s="18">
        <f t="shared" si="6"/>
        <v>1.2864475500345066E-2</v>
      </c>
      <c r="K33" s="18">
        <f t="shared" si="7"/>
        <v>1.1191617308326416E-2</v>
      </c>
      <c r="M33" s="10">
        <f t="shared" si="12"/>
        <v>13</v>
      </c>
      <c r="N33" s="12">
        <f t="shared" si="8"/>
        <v>0.88853304002760525</v>
      </c>
      <c r="O33" s="12">
        <f t="shared" si="9"/>
        <v>0.87866259927242929</v>
      </c>
      <c r="P33" s="12">
        <f t="shared" si="10"/>
        <v>0.78072075049008904</v>
      </c>
    </row>
    <row r="34" spans="1:16" x14ac:dyDescent="0.2">
      <c r="A34" s="26">
        <f t="shared" si="4"/>
        <v>24</v>
      </c>
      <c r="B34" s="38">
        <v>98509</v>
      </c>
      <c r="C34" s="28">
        <f t="shared" si="0"/>
        <v>98509</v>
      </c>
      <c r="D34" s="33">
        <f t="shared" si="1"/>
        <v>0</v>
      </c>
      <c r="E34" s="46">
        <f t="shared" si="2"/>
        <v>103</v>
      </c>
      <c r="F34" s="36">
        <f t="shared" si="3"/>
        <v>1.0455897430691611E-3</v>
      </c>
      <c r="H34" s="10">
        <f t="shared" si="11"/>
        <v>15</v>
      </c>
      <c r="I34" s="18">
        <f t="shared" si="5"/>
        <v>0.86134947482837887</v>
      </c>
      <c r="J34" s="18">
        <f t="shared" si="6"/>
        <v>1.3802622498274672E-2</v>
      </c>
      <c r="K34" s="18">
        <f t="shared" si="7"/>
        <v>1.1888881640143255E-2</v>
      </c>
      <c r="M34" s="10">
        <f t="shared" si="12"/>
        <v>14</v>
      </c>
      <c r="N34" s="12">
        <f t="shared" si="8"/>
        <v>0.87566856452726016</v>
      </c>
      <c r="O34" s="12">
        <f t="shared" si="9"/>
        <v>0.86996296957666264</v>
      </c>
      <c r="P34" s="12">
        <f t="shared" si="10"/>
        <v>0.76179922476106865</v>
      </c>
    </row>
    <row r="35" spans="1:16" x14ac:dyDescent="0.2">
      <c r="A35" s="26">
        <f t="shared" si="4"/>
        <v>25</v>
      </c>
      <c r="B35" s="38">
        <v>98406</v>
      </c>
      <c r="C35" s="28">
        <f t="shared" si="0"/>
        <v>98406</v>
      </c>
      <c r="D35" s="33">
        <f t="shared" si="1"/>
        <v>0</v>
      </c>
      <c r="E35" s="46">
        <f t="shared" si="2"/>
        <v>103</v>
      </c>
      <c r="F35" s="36">
        <f t="shared" si="3"/>
        <v>1.0466841452756947E-3</v>
      </c>
      <c r="H35" s="10">
        <f t="shared" si="11"/>
        <v>16</v>
      </c>
      <c r="I35" s="18">
        <f t="shared" si="5"/>
        <v>0.8528212622063156</v>
      </c>
      <c r="J35" s="18">
        <f t="shared" si="6"/>
        <v>1.4816252587991718E-2</v>
      </c>
      <c r="K35" s="18">
        <f t="shared" si="7"/>
        <v>1.2635615233258688E-2</v>
      </c>
      <c r="M35" s="10">
        <f t="shared" si="12"/>
        <v>15</v>
      </c>
      <c r="N35" s="12">
        <f t="shared" si="8"/>
        <v>0.86186594202898548</v>
      </c>
      <c r="O35" s="12">
        <f t="shared" si="9"/>
        <v>0.86134947482837887</v>
      </c>
      <c r="P35" s="12">
        <f t="shared" si="10"/>
        <v>0.74236777653913266</v>
      </c>
    </row>
    <row r="36" spans="1:16" x14ac:dyDescent="0.2">
      <c r="A36" s="26">
        <f t="shared" si="4"/>
        <v>26</v>
      </c>
      <c r="B36" s="38">
        <v>98303</v>
      </c>
      <c r="C36" s="28">
        <f t="shared" si="0"/>
        <v>98303</v>
      </c>
      <c r="D36" s="33">
        <f t="shared" si="1"/>
        <v>0</v>
      </c>
      <c r="E36" s="46">
        <f t="shared" si="2"/>
        <v>105</v>
      </c>
      <c r="F36" s="36">
        <f t="shared" si="3"/>
        <v>1.0681260999155671E-3</v>
      </c>
      <c r="H36" s="10">
        <f t="shared" si="11"/>
        <v>17</v>
      </c>
      <c r="I36" s="18">
        <f t="shared" si="5"/>
        <v>0.8443774873329859</v>
      </c>
      <c r="J36" s="18">
        <f t="shared" si="6"/>
        <v>1.5894582470669428E-2</v>
      </c>
      <c r="K36" s="18">
        <f t="shared" si="7"/>
        <v>1.3421027608790775E-2</v>
      </c>
      <c r="M36" s="10">
        <f t="shared" si="12"/>
        <v>16</v>
      </c>
      <c r="N36" s="12">
        <f t="shared" si="8"/>
        <v>0.84704968944099379</v>
      </c>
      <c r="O36" s="12">
        <f t="shared" si="9"/>
        <v>0.8528212622063156</v>
      </c>
      <c r="P36" s="12">
        <f t="shared" si="10"/>
        <v>0.72238198530053599</v>
      </c>
    </row>
    <row r="37" spans="1:16" x14ac:dyDescent="0.2">
      <c r="A37" s="26">
        <f t="shared" si="4"/>
        <v>27</v>
      </c>
      <c r="B37" s="38">
        <v>98198</v>
      </c>
      <c r="C37" s="28">
        <f t="shared" si="0"/>
        <v>98198</v>
      </c>
      <c r="D37" s="33">
        <f t="shared" si="1"/>
        <v>0</v>
      </c>
      <c r="E37" s="46">
        <f t="shared" si="2"/>
        <v>107</v>
      </c>
      <c r="F37" s="36">
        <f t="shared" si="3"/>
        <v>1.0896352267866962E-3</v>
      </c>
      <c r="H37" s="10">
        <f t="shared" si="11"/>
        <v>18</v>
      </c>
      <c r="I37" s="18">
        <f t="shared" si="5"/>
        <v>0.83601731419107506</v>
      </c>
      <c r="J37" s="18">
        <f t="shared" si="6"/>
        <v>1.7005262249827468E-2</v>
      </c>
      <c r="K37" s="18">
        <f t="shared" si="7"/>
        <v>1.4216693673215638E-2</v>
      </c>
      <c r="M37" s="10">
        <f t="shared" si="12"/>
        <v>17</v>
      </c>
      <c r="N37" s="12">
        <f t="shared" si="8"/>
        <v>0.83115510697032435</v>
      </c>
      <c r="O37" s="12">
        <f t="shared" si="9"/>
        <v>0.8443774873329859</v>
      </c>
      <c r="P37" s="12">
        <f t="shared" si="10"/>
        <v>0.70180866080758164</v>
      </c>
    </row>
    <row r="38" spans="1:16" x14ac:dyDescent="0.2">
      <c r="A38" s="26">
        <f t="shared" si="4"/>
        <v>28</v>
      </c>
      <c r="B38" s="38">
        <v>98091</v>
      </c>
      <c r="C38" s="28">
        <f t="shared" si="0"/>
        <v>98091</v>
      </c>
      <c r="D38" s="33">
        <f t="shared" si="1"/>
        <v>0</v>
      </c>
      <c r="E38" s="46">
        <f t="shared" si="2"/>
        <v>109</v>
      </c>
      <c r="F38" s="36">
        <f t="shared" si="3"/>
        <v>1.1112130572631536E-3</v>
      </c>
      <c r="H38" s="10">
        <f t="shared" si="11"/>
        <v>19</v>
      </c>
      <c r="I38" s="18">
        <f t="shared" si="5"/>
        <v>0.82773991504066846</v>
      </c>
      <c r="J38" s="18">
        <f t="shared" si="6"/>
        <v>1.8169858523119392E-2</v>
      </c>
      <c r="K38" s="18">
        <f t="shared" si="7"/>
        <v>1.5039917150227811E-2</v>
      </c>
      <c r="M38" s="10">
        <f t="shared" si="12"/>
        <v>18</v>
      </c>
      <c r="N38" s="12">
        <f t="shared" si="8"/>
        <v>0.8141498447204969</v>
      </c>
      <c r="O38" s="12">
        <f t="shared" si="9"/>
        <v>0.83601731419107506</v>
      </c>
      <c r="P38" s="12">
        <f t="shared" si="10"/>
        <v>0.68064336653231061</v>
      </c>
    </row>
    <row r="39" spans="1:16" x14ac:dyDescent="0.2">
      <c r="A39" s="26">
        <f t="shared" si="4"/>
        <v>29</v>
      </c>
      <c r="B39" s="38">
        <v>97982</v>
      </c>
      <c r="C39" s="28">
        <f t="shared" si="0"/>
        <v>97982</v>
      </c>
      <c r="D39" s="33">
        <f t="shared" si="1"/>
        <v>0</v>
      </c>
      <c r="E39" s="46">
        <f t="shared" si="2"/>
        <v>112</v>
      </c>
      <c r="F39" s="36">
        <f t="shared" si="3"/>
        <v>1.1430670939560328E-3</v>
      </c>
      <c r="H39" s="10">
        <f t="shared" si="11"/>
        <v>20</v>
      </c>
      <c r="I39" s="18">
        <f t="shared" si="5"/>
        <v>0.81954447033729538</v>
      </c>
      <c r="J39" s="18">
        <f t="shared" si="6"/>
        <v>1.9377587991718428E-2</v>
      </c>
      <c r="K39" s="18">
        <f t="shared" si="7"/>
        <v>1.5880795087087216E-2</v>
      </c>
      <c r="M39" s="10">
        <f t="shared" si="12"/>
        <v>19</v>
      </c>
      <c r="N39" s="12">
        <f t="shared" si="8"/>
        <v>0.79597998619737753</v>
      </c>
      <c r="O39" s="12">
        <f t="shared" si="9"/>
        <v>0.82773991504066846</v>
      </c>
      <c r="P39" s="12">
        <f t="shared" si="10"/>
        <v>0.6588644061490897</v>
      </c>
    </row>
    <row r="40" spans="1:16" x14ac:dyDescent="0.2">
      <c r="A40" s="26">
        <f t="shared" si="4"/>
        <v>30</v>
      </c>
      <c r="B40" s="38">
        <v>97870</v>
      </c>
      <c r="C40" s="28">
        <f t="shared" si="0"/>
        <v>97870</v>
      </c>
      <c r="D40" s="33">
        <f t="shared" si="1"/>
        <v>0</v>
      </c>
      <c r="E40" s="46">
        <f t="shared" si="2"/>
        <v>114</v>
      </c>
      <c r="F40" s="36">
        <f t="shared" si="3"/>
        <v>1.1648104628588945E-3</v>
      </c>
      <c r="H40" s="10">
        <f t="shared" si="11"/>
        <v>21</v>
      </c>
      <c r="I40" s="18">
        <f t="shared" si="5"/>
        <v>0.81143016865078754</v>
      </c>
      <c r="J40" s="18">
        <f t="shared" si="6"/>
        <v>2.0639233954451344E-2</v>
      </c>
      <c r="K40" s="18">
        <f t="shared" si="7"/>
        <v>1.6747297088483513E-2</v>
      </c>
      <c r="M40" s="10">
        <f t="shared" si="12"/>
        <v>20</v>
      </c>
      <c r="N40" s="12">
        <f t="shared" si="8"/>
        <v>0.77660239820565913</v>
      </c>
      <c r="O40" s="12">
        <f t="shared" si="9"/>
        <v>0.81954447033729538</v>
      </c>
      <c r="P40" s="12">
        <f t="shared" si="10"/>
        <v>0.63646020110013024</v>
      </c>
    </row>
    <row r="41" spans="1:16" x14ac:dyDescent="0.2">
      <c r="A41" s="26">
        <f t="shared" si="4"/>
        <v>31</v>
      </c>
      <c r="B41" s="38">
        <v>97756</v>
      </c>
      <c r="C41" s="28">
        <f t="shared" si="0"/>
        <v>97756</v>
      </c>
      <c r="D41" s="33">
        <f t="shared" si="1"/>
        <v>0</v>
      </c>
      <c r="E41" s="46">
        <f t="shared" si="2"/>
        <v>117</v>
      </c>
      <c r="F41" s="36">
        <f t="shared" si="3"/>
        <v>1.1968574818936946E-3</v>
      </c>
      <c r="H41" s="10">
        <f t="shared" si="11"/>
        <v>22</v>
      </c>
      <c r="I41" s="18">
        <f t="shared" si="5"/>
        <v>0.80339620658493816</v>
      </c>
      <c r="J41" s="18">
        <f t="shared" si="6"/>
        <v>2.1944013112491372E-2</v>
      </c>
      <c r="K41" s="18">
        <f t="shared" si="7"/>
        <v>1.7629736891825711E-2</v>
      </c>
      <c r="M41" s="10">
        <f t="shared" si="12"/>
        <v>21</v>
      </c>
      <c r="N41" s="12">
        <f t="shared" si="8"/>
        <v>0.75596316425120769</v>
      </c>
      <c r="O41" s="12">
        <f t="shared" si="9"/>
        <v>0.81143016865078754</v>
      </c>
      <c r="P41" s="12">
        <f t="shared" si="10"/>
        <v>0.61341131786214043</v>
      </c>
    </row>
    <row r="42" spans="1:16" x14ac:dyDescent="0.2">
      <c r="A42" s="26">
        <f t="shared" si="4"/>
        <v>32</v>
      </c>
      <c r="B42" s="38">
        <v>97639</v>
      </c>
      <c r="C42" s="28">
        <f t="shared" ref="C42:C73" si="13">lx(A42)</f>
        <v>97639</v>
      </c>
      <c r="D42" s="33">
        <f t="shared" ref="D42:D73" si="14">(B42&lt;&gt;C42)*1</f>
        <v>0</v>
      </c>
      <c r="E42" s="46">
        <f t="shared" ref="E42:E73" si="15">dx(A42)</f>
        <v>122</v>
      </c>
      <c r="F42" s="36">
        <f t="shared" ref="F42:F73" si="16">qx(A42)</f>
        <v>1.2495007118057335E-3</v>
      </c>
      <c r="H42" s="10">
        <f t="shared" si="11"/>
        <v>23</v>
      </c>
      <c r="I42" s="18">
        <f t="shared" si="5"/>
        <v>0.79544178869795856</v>
      </c>
      <c r="J42" s="18">
        <f t="shared" si="6"/>
        <v>2.32487922705314E-2</v>
      </c>
      <c r="K42" s="18">
        <f t="shared" si="7"/>
        <v>1.849306090873877E-2</v>
      </c>
      <c r="M42" s="10">
        <f t="shared" si="12"/>
        <v>22</v>
      </c>
      <c r="N42" s="12">
        <f t="shared" si="8"/>
        <v>0.73401915113871641</v>
      </c>
      <c r="O42" s="12">
        <f t="shared" si="9"/>
        <v>0.80339620658493816</v>
      </c>
      <c r="P42" s="12">
        <f t="shared" si="10"/>
        <v>0.58970820158554116</v>
      </c>
    </row>
    <row r="43" spans="1:16" x14ac:dyDescent="0.2">
      <c r="A43" s="26">
        <f t="shared" ref="A43:A74" si="17">A42+1</f>
        <v>33</v>
      </c>
      <c r="B43" s="38">
        <v>97517</v>
      </c>
      <c r="C43" s="28">
        <f t="shared" si="13"/>
        <v>97517</v>
      </c>
      <c r="D43" s="33">
        <f t="shared" si="14"/>
        <v>0</v>
      </c>
      <c r="E43" s="46">
        <f t="shared" si="15"/>
        <v>129</v>
      </c>
      <c r="F43" s="36">
        <f t="shared" si="16"/>
        <v>1.3228462729575356E-3</v>
      </c>
      <c r="H43" s="10">
        <f t="shared" si="11"/>
        <v>24</v>
      </c>
      <c r="I43" s="18">
        <f t="shared" si="5"/>
        <v>0.78756612742372134</v>
      </c>
      <c r="J43" s="18">
        <f t="shared" si="6"/>
        <v>2.4553571428571428E-2</v>
      </c>
      <c r="K43" s="18">
        <f t="shared" si="7"/>
        <v>1.9337561164421729E-2</v>
      </c>
      <c r="M43" s="10">
        <f t="shared" si="12"/>
        <v>23</v>
      </c>
      <c r="N43" s="12">
        <f t="shared" si="8"/>
        <v>0.71077035886818496</v>
      </c>
      <c r="O43" s="12">
        <f t="shared" si="9"/>
        <v>0.79544178869795856</v>
      </c>
      <c r="P43" s="12">
        <f t="shared" si="10"/>
        <v>0.56537644561159894</v>
      </c>
    </row>
    <row r="44" spans="1:16" x14ac:dyDescent="0.2">
      <c r="A44" s="26">
        <f t="shared" si="17"/>
        <v>34</v>
      </c>
      <c r="B44" s="38">
        <v>97388</v>
      </c>
      <c r="C44" s="28">
        <f t="shared" si="13"/>
        <v>97388</v>
      </c>
      <c r="D44" s="33">
        <f t="shared" si="14"/>
        <v>0</v>
      </c>
      <c r="E44" s="46">
        <f t="shared" si="15"/>
        <v>139</v>
      </c>
      <c r="F44" s="36">
        <f t="shared" si="16"/>
        <v>1.427280568447858E-3</v>
      </c>
      <c r="H44" s="10">
        <f t="shared" si="11"/>
        <v>25</v>
      </c>
      <c r="I44" s="18">
        <f t="shared" si="5"/>
        <v>0.77976844299378356</v>
      </c>
      <c r="J44" s="18">
        <f t="shared" si="6"/>
        <v>2.5858350586611456E-2</v>
      </c>
      <c r="K44" s="18">
        <f t="shared" si="7"/>
        <v>2.0163525775309405E-2</v>
      </c>
      <c r="M44" s="10">
        <f t="shared" si="12"/>
        <v>24</v>
      </c>
      <c r="N44" s="12">
        <f t="shared" si="8"/>
        <v>0.68621678743961356</v>
      </c>
      <c r="O44" s="12">
        <f t="shared" si="9"/>
        <v>0.78756612742372134</v>
      </c>
      <c r="P44" s="12">
        <f t="shared" si="10"/>
        <v>0.54044109785696337</v>
      </c>
    </row>
    <row r="45" spans="1:16" x14ac:dyDescent="0.2">
      <c r="A45" s="26">
        <f t="shared" si="17"/>
        <v>35</v>
      </c>
      <c r="B45" s="38">
        <v>97249</v>
      </c>
      <c r="C45" s="28">
        <f t="shared" si="13"/>
        <v>97249</v>
      </c>
      <c r="D45" s="33">
        <f t="shared" si="14"/>
        <v>0</v>
      </c>
      <c r="E45" s="46">
        <f t="shared" si="15"/>
        <v>149</v>
      </c>
      <c r="F45" s="36">
        <f t="shared" si="16"/>
        <v>1.5321494308424765E-3</v>
      </c>
      <c r="H45" s="10">
        <f t="shared" si="11"/>
        <v>26</v>
      </c>
      <c r="I45" s="18">
        <f t="shared" si="5"/>
        <v>0.77204796336018167</v>
      </c>
      <c r="J45" s="18">
        <f t="shared" si="6"/>
        <v>2.7184696342305036E-2</v>
      </c>
      <c r="K45" s="18">
        <f t="shared" si="7"/>
        <v>2.0987889445641582E-2</v>
      </c>
      <c r="M45" s="10">
        <f t="shared" si="12"/>
        <v>25</v>
      </c>
      <c r="N45" s="12">
        <f t="shared" si="8"/>
        <v>0.66035843685300211</v>
      </c>
      <c r="O45" s="12">
        <f t="shared" si="9"/>
        <v>0.77976844299378356</v>
      </c>
      <c r="P45" s="12">
        <f t="shared" si="10"/>
        <v>0.51492667012267423</v>
      </c>
    </row>
    <row r="46" spans="1:16" x14ac:dyDescent="0.2">
      <c r="A46" s="26">
        <f t="shared" si="17"/>
        <v>36</v>
      </c>
      <c r="B46" s="38">
        <v>97100</v>
      </c>
      <c r="C46" s="28">
        <f t="shared" si="13"/>
        <v>97100</v>
      </c>
      <c r="D46" s="33">
        <f t="shared" si="14"/>
        <v>0</v>
      </c>
      <c r="E46" s="46">
        <f t="shared" si="15"/>
        <v>161</v>
      </c>
      <c r="F46" s="36">
        <f t="shared" si="16"/>
        <v>1.6580844490216272E-3</v>
      </c>
      <c r="H46" s="10">
        <f t="shared" si="11"/>
        <v>27</v>
      </c>
      <c r="I46" s="18">
        <f t="shared" si="5"/>
        <v>0.76440392411899172</v>
      </c>
      <c r="J46" s="18">
        <f t="shared" si="6"/>
        <v>2.8532608695652172E-2</v>
      </c>
      <c r="K46" s="18">
        <f t="shared" si="7"/>
        <v>2.1810438052308187E-2</v>
      </c>
      <c r="M46" s="10">
        <f t="shared" si="12"/>
        <v>26</v>
      </c>
      <c r="N46" s="12">
        <f t="shared" si="8"/>
        <v>0.63317374051069708</v>
      </c>
      <c r="O46" s="12">
        <f t="shared" si="9"/>
        <v>0.77204796336018167</v>
      </c>
      <c r="P46" s="12">
        <f t="shared" si="10"/>
        <v>0.48884049681443181</v>
      </c>
    </row>
    <row r="47" spans="1:16" x14ac:dyDescent="0.2">
      <c r="A47" s="26">
        <f t="shared" si="17"/>
        <v>37</v>
      </c>
      <c r="B47" s="38">
        <v>96939</v>
      </c>
      <c r="C47" s="28">
        <f t="shared" si="13"/>
        <v>96939</v>
      </c>
      <c r="D47" s="33">
        <f t="shared" si="14"/>
        <v>0</v>
      </c>
      <c r="E47" s="46">
        <f t="shared" si="15"/>
        <v>174</v>
      </c>
      <c r="F47" s="36">
        <f t="shared" si="16"/>
        <v>1.7949432117104571E-3</v>
      </c>
      <c r="H47" s="10">
        <f t="shared" si="11"/>
        <v>28</v>
      </c>
      <c r="I47" s="18">
        <f t="shared" si="5"/>
        <v>0.75683556843464528</v>
      </c>
      <c r="J47" s="18">
        <f t="shared" si="6"/>
        <v>2.9858954451345756E-2</v>
      </c>
      <c r="K47" s="18">
        <f t="shared" si="7"/>
        <v>2.2598318765048447E-2</v>
      </c>
      <c r="M47" s="10">
        <f t="shared" si="12"/>
        <v>27</v>
      </c>
      <c r="N47" s="12">
        <f t="shared" si="8"/>
        <v>0.60464113181504486</v>
      </c>
      <c r="O47" s="12">
        <f t="shared" si="9"/>
        <v>0.76440392411899172</v>
      </c>
      <c r="P47" s="12">
        <f t="shared" si="10"/>
        <v>0.4621900538431688</v>
      </c>
    </row>
    <row r="48" spans="1:16" x14ac:dyDescent="0.2">
      <c r="A48" s="26">
        <f t="shared" si="17"/>
        <v>38</v>
      </c>
      <c r="B48" s="38">
        <v>96765</v>
      </c>
      <c r="C48" s="28">
        <f t="shared" si="13"/>
        <v>96765</v>
      </c>
      <c r="D48" s="33">
        <f t="shared" si="14"/>
        <v>0</v>
      </c>
      <c r="E48" s="46">
        <f t="shared" si="15"/>
        <v>189</v>
      </c>
      <c r="F48" s="36">
        <f t="shared" si="16"/>
        <v>1.9531855526274998E-3</v>
      </c>
      <c r="H48" s="10">
        <f t="shared" si="11"/>
        <v>29</v>
      </c>
      <c r="I48" s="18">
        <f t="shared" si="5"/>
        <v>0.74934214696499535</v>
      </c>
      <c r="J48" s="18">
        <f t="shared" si="6"/>
        <v>3.1185300207039336E-2</v>
      </c>
      <c r="K48" s="18">
        <f t="shared" si="7"/>
        <v>2.3368459810890769E-2</v>
      </c>
      <c r="M48" s="10">
        <f t="shared" si="12"/>
        <v>28</v>
      </c>
      <c r="N48" s="12">
        <f t="shared" si="8"/>
        <v>0.57478217736369908</v>
      </c>
      <c r="O48" s="12">
        <f t="shared" si="9"/>
        <v>0.75683556843464528</v>
      </c>
      <c r="P48" s="12">
        <f t="shared" si="10"/>
        <v>0.43501559593115829</v>
      </c>
    </row>
    <row r="49" spans="1:16" x14ac:dyDescent="0.2">
      <c r="A49" s="26">
        <f t="shared" si="17"/>
        <v>39</v>
      </c>
      <c r="B49" s="38">
        <v>96576</v>
      </c>
      <c r="C49" s="28">
        <f t="shared" si="13"/>
        <v>96576</v>
      </c>
      <c r="D49" s="33">
        <f t="shared" si="14"/>
        <v>0</v>
      </c>
      <c r="E49" s="46">
        <f t="shared" si="15"/>
        <v>207</v>
      </c>
      <c r="F49" s="36">
        <f t="shared" si="16"/>
        <v>2.143389662027833E-3</v>
      </c>
      <c r="H49" s="10">
        <f t="shared" si="11"/>
        <v>30</v>
      </c>
      <c r="I49" s="18">
        <f t="shared" si="5"/>
        <v>0.74192291778712405</v>
      </c>
      <c r="J49" s="18">
        <f t="shared" si="6"/>
        <v>3.2576345755693584E-2</v>
      </c>
      <c r="K49" s="18">
        <f t="shared" si="7"/>
        <v>2.4169137493906378E-2</v>
      </c>
      <c r="M49" s="10">
        <f t="shared" si="12"/>
        <v>29</v>
      </c>
      <c r="N49" s="12">
        <f t="shared" si="8"/>
        <v>0.54359687715665972</v>
      </c>
      <c r="O49" s="12">
        <f t="shared" si="9"/>
        <v>0.74934214696499535</v>
      </c>
      <c r="P49" s="12">
        <f t="shared" si="10"/>
        <v>0.40734005101203824</v>
      </c>
    </row>
    <row r="50" spans="1:16" x14ac:dyDescent="0.2">
      <c r="A50" s="26">
        <f t="shared" si="17"/>
        <v>40</v>
      </c>
      <c r="B50" s="38">
        <v>96369</v>
      </c>
      <c r="C50" s="28">
        <f t="shared" si="13"/>
        <v>96369</v>
      </c>
      <c r="D50" s="33">
        <f t="shared" si="14"/>
        <v>0</v>
      </c>
      <c r="E50" s="46">
        <f t="shared" si="15"/>
        <v>228</v>
      </c>
      <c r="F50" s="36">
        <f t="shared" si="16"/>
        <v>2.3659060486255954E-3</v>
      </c>
      <c r="H50" s="10">
        <f t="shared" si="11"/>
        <v>31</v>
      </c>
      <c r="I50" s="18">
        <f t="shared" si="5"/>
        <v>0.73457714632388516</v>
      </c>
      <c r="J50" s="18">
        <f t="shared" si="6"/>
        <v>3.4032091097308488E-2</v>
      </c>
      <c r="K50" s="18">
        <f t="shared" si="7"/>
        <v>2.4999196361695366E-2</v>
      </c>
      <c r="M50" s="10">
        <f t="shared" si="12"/>
        <v>30</v>
      </c>
      <c r="N50" s="12">
        <f t="shared" si="8"/>
        <v>0.51102053140096615</v>
      </c>
      <c r="O50" s="12">
        <f t="shared" si="9"/>
        <v>0.74192291778712405</v>
      </c>
      <c r="P50" s="12">
        <f t="shared" si="10"/>
        <v>0.37913784370613146</v>
      </c>
    </row>
    <row r="51" spans="1:16" x14ac:dyDescent="0.2">
      <c r="A51" s="26">
        <f t="shared" si="17"/>
        <v>41</v>
      </c>
      <c r="B51" s="38">
        <v>96141</v>
      </c>
      <c r="C51" s="28">
        <f t="shared" si="13"/>
        <v>96141</v>
      </c>
      <c r="D51" s="33">
        <f t="shared" si="14"/>
        <v>0</v>
      </c>
      <c r="E51" s="46">
        <f t="shared" si="15"/>
        <v>254</v>
      </c>
      <c r="F51" s="36">
        <f t="shared" si="16"/>
        <v>2.6419529649161127E-3</v>
      </c>
      <c r="H51" s="10">
        <f t="shared" si="11"/>
        <v>32</v>
      </c>
      <c r="I51" s="18">
        <f t="shared" si="5"/>
        <v>0.72730410527117351</v>
      </c>
      <c r="J51" s="18">
        <f t="shared" si="6"/>
        <v>3.5455486542443064E-2</v>
      </c>
      <c r="K51" s="18">
        <f t="shared" si="7"/>
        <v>2.5786920916705685E-2</v>
      </c>
      <c r="M51" s="10">
        <f t="shared" si="12"/>
        <v>31</v>
      </c>
      <c r="N51" s="12">
        <f t="shared" si="8"/>
        <v>0.47698844030365767</v>
      </c>
      <c r="O51" s="12">
        <f t="shared" si="9"/>
        <v>0.73457714632388516</v>
      </c>
      <c r="P51" s="12">
        <f t="shared" si="10"/>
        <v>0.35038480730774169</v>
      </c>
    </row>
    <row r="52" spans="1:16" x14ac:dyDescent="0.2">
      <c r="A52" s="26">
        <f t="shared" si="17"/>
        <v>42</v>
      </c>
      <c r="B52" s="38">
        <v>95887</v>
      </c>
      <c r="C52" s="28">
        <f t="shared" si="13"/>
        <v>95887</v>
      </c>
      <c r="D52" s="33">
        <f t="shared" si="14"/>
        <v>0</v>
      </c>
      <c r="E52" s="46">
        <f t="shared" si="15"/>
        <v>281</v>
      </c>
      <c r="F52" s="36">
        <f t="shared" si="16"/>
        <v>2.9305328146672647E-3</v>
      </c>
      <c r="H52" s="10">
        <f t="shared" si="11"/>
        <v>33</v>
      </c>
      <c r="I52" s="18">
        <f t="shared" ref="I52:I83" si="18">techDF(H52,$I$4)</f>
        <v>0.72010307452591438</v>
      </c>
      <c r="J52" s="18">
        <f t="shared" ref="J52:J83" si="19">n_1qx($I$1,H52-1)</f>
        <v>3.6663216011042096E-2</v>
      </c>
      <c r="K52" s="18">
        <f t="shared" ref="K52:K83" si="20">I52*J52</f>
        <v>2.6401294571559143E-2</v>
      </c>
      <c r="M52" s="10">
        <f t="shared" si="12"/>
        <v>32</v>
      </c>
      <c r="N52" s="12">
        <f t="shared" ref="N52:N83" si="21">npx($I$1,M52)</f>
        <v>0.44153295376121465</v>
      </c>
      <c r="O52" s="12">
        <f t="shared" ref="O52:O83" si="22">techDF(M52,$I$4)</f>
        <v>0.72730410527117351</v>
      </c>
      <c r="P52" s="12">
        <f t="shared" ref="P52:P83" si="23">nEx($I$1,M52,$I$4)</f>
        <v>0.32112872988303864</v>
      </c>
    </row>
    <row r="53" spans="1:16" x14ac:dyDescent="0.2">
      <c r="A53" s="26">
        <f t="shared" si="17"/>
        <v>43</v>
      </c>
      <c r="B53" s="38">
        <v>95606</v>
      </c>
      <c r="C53" s="28">
        <f t="shared" si="13"/>
        <v>95606</v>
      </c>
      <c r="D53" s="33">
        <f t="shared" si="14"/>
        <v>0</v>
      </c>
      <c r="E53" s="47">
        <f t="shared" si="15"/>
        <v>311</v>
      </c>
      <c r="F53" s="36">
        <f t="shared" si="16"/>
        <v>3.2529339162814049E-3</v>
      </c>
      <c r="H53" s="10">
        <f t="shared" ref="H53:H84" si="24">H52+1</f>
        <v>34</v>
      </c>
      <c r="I53" s="18">
        <f t="shared" si="18"/>
        <v>0.71297334111476673</v>
      </c>
      <c r="J53" s="18">
        <f t="shared" si="19"/>
        <v>3.74611801242236E-2</v>
      </c>
      <c r="K53" s="18">
        <f t="shared" si="20"/>
        <v>2.6708822755269791E-2</v>
      </c>
      <c r="M53" s="10">
        <f t="shared" ref="M53:M84" si="25">M52+1</f>
        <v>33</v>
      </c>
      <c r="N53" s="12">
        <f t="shared" si="21"/>
        <v>0.40486973775017254</v>
      </c>
      <c r="O53" s="12">
        <f t="shared" si="22"/>
        <v>0.72010307452591438</v>
      </c>
      <c r="P53" s="12">
        <f t="shared" si="23"/>
        <v>0.29154794293639991</v>
      </c>
    </row>
    <row r="54" spans="1:16" x14ac:dyDescent="0.2">
      <c r="A54" s="26">
        <f t="shared" si="17"/>
        <v>44</v>
      </c>
      <c r="B54" s="38">
        <v>95295</v>
      </c>
      <c r="C54" s="28">
        <f t="shared" si="13"/>
        <v>95295</v>
      </c>
      <c r="D54" s="33">
        <f t="shared" si="14"/>
        <v>0</v>
      </c>
      <c r="E54" s="47">
        <f t="shared" si="15"/>
        <v>343</v>
      </c>
      <c r="F54" s="36">
        <f t="shared" si="16"/>
        <v>3.5993493887402279E-3</v>
      </c>
      <c r="H54" s="10">
        <f t="shared" si="24"/>
        <v>35</v>
      </c>
      <c r="I54" s="18">
        <f t="shared" si="18"/>
        <v>0.70591419912353137</v>
      </c>
      <c r="J54" s="18">
        <f t="shared" si="19"/>
        <v>3.7709195997239472E-2</v>
      </c>
      <c r="K54" s="18">
        <f t="shared" si="20"/>
        <v>2.6619456891983577E-2</v>
      </c>
      <c r="M54" s="10">
        <f t="shared" si="25"/>
        <v>34</v>
      </c>
      <c r="N54" s="12">
        <f t="shared" si="21"/>
        <v>0.36740855762594893</v>
      </c>
      <c r="O54" s="12">
        <f t="shared" si="22"/>
        <v>0.71297334111476673</v>
      </c>
      <c r="P54" s="12">
        <f t="shared" si="23"/>
        <v>0.2619525068847301</v>
      </c>
    </row>
    <row r="55" spans="1:16" x14ac:dyDescent="0.2">
      <c r="A55" s="26">
        <f t="shared" si="17"/>
        <v>45</v>
      </c>
      <c r="B55" s="38">
        <v>94952</v>
      </c>
      <c r="C55" s="28">
        <f t="shared" si="13"/>
        <v>94952</v>
      </c>
      <c r="D55" s="33">
        <f t="shared" si="14"/>
        <v>0</v>
      </c>
      <c r="E55" s="47">
        <f t="shared" si="15"/>
        <v>377</v>
      </c>
      <c r="F55" s="36">
        <f t="shared" si="16"/>
        <v>3.9704271631982478E-3</v>
      </c>
      <c r="H55" s="10">
        <f t="shared" si="24"/>
        <v>36</v>
      </c>
      <c r="I55" s="18">
        <f t="shared" si="18"/>
        <v>0.69892494962725871</v>
      </c>
      <c r="J55" s="18">
        <f t="shared" si="19"/>
        <v>3.7428830227743272E-2</v>
      </c>
      <c r="K55" s="18">
        <f t="shared" si="20"/>
        <v>2.6159943281532684E-2</v>
      </c>
      <c r="M55" s="10">
        <f t="shared" si="25"/>
        <v>35</v>
      </c>
      <c r="N55" s="12">
        <f t="shared" si="21"/>
        <v>0.32969936162870944</v>
      </c>
      <c r="O55" s="12">
        <f t="shared" si="22"/>
        <v>0.70591419912353137</v>
      </c>
      <c r="P55" s="12">
        <f t="shared" si="23"/>
        <v>0.23273946081566999</v>
      </c>
    </row>
    <row r="56" spans="1:16" x14ac:dyDescent="0.2">
      <c r="A56" s="26">
        <f t="shared" si="17"/>
        <v>46</v>
      </c>
      <c r="B56" s="38">
        <v>94575</v>
      </c>
      <c r="C56" s="28">
        <f t="shared" si="13"/>
        <v>94575</v>
      </c>
      <c r="D56" s="33">
        <f t="shared" si="14"/>
        <v>0</v>
      </c>
      <c r="E56" s="47">
        <f t="shared" si="15"/>
        <v>411</v>
      </c>
      <c r="F56" s="36">
        <f t="shared" si="16"/>
        <v>4.3457573354480569E-3</v>
      </c>
      <c r="H56" s="10">
        <f t="shared" si="24"/>
        <v>37</v>
      </c>
      <c r="I56" s="18">
        <f t="shared" si="18"/>
        <v>0.69200490062104825</v>
      </c>
      <c r="J56" s="18">
        <f t="shared" si="19"/>
        <v>3.6630866114561768E-2</v>
      </c>
      <c r="K56" s="18">
        <f t="shared" si="20"/>
        <v>2.534873886527024E-2</v>
      </c>
      <c r="M56" s="10">
        <f t="shared" si="25"/>
        <v>36</v>
      </c>
      <c r="N56" s="12">
        <f t="shared" si="21"/>
        <v>0.2922705314009662</v>
      </c>
      <c r="O56" s="12">
        <f t="shared" si="22"/>
        <v>0.69892494962725871</v>
      </c>
      <c r="P56" s="12">
        <f t="shared" si="23"/>
        <v>0.20427516643695243</v>
      </c>
    </row>
    <row r="57" spans="1:16" x14ac:dyDescent="0.2">
      <c r="A57" s="26">
        <f t="shared" si="17"/>
        <v>47</v>
      </c>
      <c r="B57" s="38">
        <v>94164</v>
      </c>
      <c r="C57" s="28">
        <f t="shared" si="13"/>
        <v>94164</v>
      </c>
      <c r="D57" s="33">
        <f t="shared" si="14"/>
        <v>0</v>
      </c>
      <c r="E57" s="47">
        <f t="shared" si="15"/>
        <v>444</v>
      </c>
      <c r="F57" s="36">
        <f t="shared" si="16"/>
        <v>4.7151777749458394E-3</v>
      </c>
      <c r="H57" s="10">
        <f t="shared" si="24"/>
        <v>38</v>
      </c>
      <c r="I57" s="18">
        <f t="shared" si="18"/>
        <v>0.68515336695153295</v>
      </c>
      <c r="J57" s="18">
        <f t="shared" si="19"/>
        <v>3.5282953761214632E-2</v>
      </c>
      <c r="K57" s="18">
        <f t="shared" si="20"/>
        <v>2.4174234565491459E-2</v>
      </c>
      <c r="M57" s="10">
        <f t="shared" si="25"/>
        <v>37</v>
      </c>
      <c r="N57" s="12">
        <f t="shared" si="21"/>
        <v>0.25563966528640442</v>
      </c>
      <c r="O57" s="12">
        <f t="shared" si="22"/>
        <v>0.69200490062104825</v>
      </c>
      <c r="P57" s="12">
        <f t="shared" si="23"/>
        <v>0.17690390117131632</v>
      </c>
    </row>
    <row r="58" spans="1:16" x14ac:dyDescent="0.2">
      <c r="A58" s="26">
        <f t="shared" si="17"/>
        <v>48</v>
      </c>
      <c r="B58" s="38">
        <v>93720</v>
      </c>
      <c r="C58" s="28">
        <f t="shared" si="13"/>
        <v>93720</v>
      </c>
      <c r="D58" s="33">
        <f t="shared" si="14"/>
        <v>0</v>
      </c>
      <c r="E58" s="47">
        <f t="shared" si="15"/>
        <v>476</v>
      </c>
      <c r="F58" s="36">
        <f t="shared" si="16"/>
        <v>5.0789586000853605E-3</v>
      </c>
      <c r="H58" s="10">
        <f t="shared" si="24"/>
        <v>39</v>
      </c>
      <c r="I58" s="18">
        <f t="shared" si="18"/>
        <v>0.67836967024904249</v>
      </c>
      <c r="J58" s="18">
        <f t="shared" si="19"/>
        <v>3.339587646652864E-2</v>
      </c>
      <c r="K58" s="18">
        <f t="shared" si="20"/>
        <v>2.2654749706276792E-2</v>
      </c>
      <c r="M58" s="10">
        <f t="shared" si="25"/>
        <v>38</v>
      </c>
      <c r="N58" s="12">
        <f t="shared" si="21"/>
        <v>0.22035671152518979</v>
      </c>
      <c r="O58" s="12">
        <f t="shared" si="22"/>
        <v>0.68515336695153295</v>
      </c>
      <c r="P58" s="12">
        <f t="shared" si="23"/>
        <v>0.15097814283185146</v>
      </c>
    </row>
    <row r="59" spans="1:16" x14ac:dyDescent="0.2">
      <c r="A59" s="26">
        <f t="shared" si="17"/>
        <v>49</v>
      </c>
      <c r="B59" s="38">
        <v>93244</v>
      </c>
      <c r="C59" s="28">
        <f t="shared" si="13"/>
        <v>93244</v>
      </c>
      <c r="D59" s="33">
        <f t="shared" si="14"/>
        <v>0</v>
      </c>
      <c r="E59" s="47">
        <f t="shared" si="15"/>
        <v>508</v>
      </c>
      <c r="F59" s="36">
        <f t="shared" si="16"/>
        <v>5.4480717257946896E-3</v>
      </c>
      <c r="H59" s="10">
        <f t="shared" si="24"/>
        <v>40</v>
      </c>
      <c r="I59" s="18">
        <f t="shared" si="18"/>
        <v>0.67165313886043809</v>
      </c>
      <c r="J59" s="18">
        <f t="shared" si="19"/>
        <v>3.0991200828157348E-2</v>
      </c>
      <c r="K59" s="18">
        <f t="shared" si="20"/>
        <v>2.0815337313286091E-2</v>
      </c>
      <c r="M59" s="10">
        <f t="shared" si="25"/>
        <v>39</v>
      </c>
      <c r="N59" s="12">
        <f t="shared" si="21"/>
        <v>0.18696083505866115</v>
      </c>
      <c r="O59" s="12">
        <f t="shared" si="22"/>
        <v>0.67836967024904249</v>
      </c>
      <c r="P59" s="12">
        <f t="shared" si="23"/>
        <v>0.12682856002822959</v>
      </c>
    </row>
    <row r="60" spans="1:16" x14ac:dyDescent="0.2">
      <c r="A60" s="26">
        <f t="shared" si="17"/>
        <v>50</v>
      </c>
      <c r="B60" s="38">
        <v>92736</v>
      </c>
      <c r="C60" s="28">
        <f t="shared" si="13"/>
        <v>92736</v>
      </c>
      <c r="D60" s="33">
        <f t="shared" si="14"/>
        <v>0</v>
      </c>
      <c r="E60" s="47">
        <f t="shared" si="15"/>
        <v>540</v>
      </c>
      <c r="F60" s="36">
        <f t="shared" si="16"/>
        <v>5.822981366459627E-3</v>
      </c>
      <c r="H60" s="10">
        <f t="shared" si="24"/>
        <v>41</v>
      </c>
      <c r="I60" s="18">
        <f t="shared" si="18"/>
        <v>0.66500310778261196</v>
      </c>
      <c r="J60" s="18">
        <f t="shared" si="19"/>
        <v>2.8165976535541752E-2</v>
      </c>
      <c r="K60" s="18">
        <f t="shared" si="20"/>
        <v>1.8730461929867392E-2</v>
      </c>
      <c r="M60" s="10">
        <f t="shared" si="25"/>
        <v>40</v>
      </c>
      <c r="N60" s="12">
        <f t="shared" si="21"/>
        <v>0.15596963423050381</v>
      </c>
      <c r="O60" s="12">
        <f t="shared" si="22"/>
        <v>0.67165313886043809</v>
      </c>
      <c r="P60" s="12">
        <f t="shared" si="23"/>
        <v>0.10475749439783232</v>
      </c>
    </row>
    <row r="61" spans="1:16" x14ac:dyDescent="0.2">
      <c r="A61" s="26">
        <f t="shared" si="17"/>
        <v>51</v>
      </c>
      <c r="B61" s="38">
        <v>92196</v>
      </c>
      <c r="C61" s="28">
        <f t="shared" si="13"/>
        <v>92196</v>
      </c>
      <c r="D61" s="33">
        <f t="shared" si="14"/>
        <v>0</v>
      </c>
      <c r="E61" s="47">
        <f t="shared" si="15"/>
        <v>575</v>
      </c>
      <c r="F61" s="36">
        <f t="shared" si="16"/>
        <v>6.2367130895049673E-3</v>
      </c>
      <c r="H61" s="10">
        <f t="shared" si="24"/>
        <v>42</v>
      </c>
      <c r="I61" s="18">
        <f t="shared" si="18"/>
        <v>0.65841891859664547</v>
      </c>
      <c r="J61" s="18">
        <f t="shared" si="19"/>
        <v>2.5081953071083504E-2</v>
      </c>
      <c r="K61" s="18">
        <f t="shared" si="20"/>
        <v>1.6514432417354612E-2</v>
      </c>
      <c r="M61" s="10">
        <f t="shared" si="25"/>
        <v>41</v>
      </c>
      <c r="N61" s="12">
        <f t="shared" si="21"/>
        <v>0.12780365769496205</v>
      </c>
      <c r="O61" s="12">
        <f t="shared" si="22"/>
        <v>0.66500310778261196</v>
      </c>
      <c r="P61" s="12">
        <f t="shared" si="23"/>
        <v>8.4989829553134888E-2</v>
      </c>
    </row>
    <row r="62" spans="1:16" x14ac:dyDescent="0.2">
      <c r="A62" s="26">
        <f t="shared" si="17"/>
        <v>52</v>
      </c>
      <c r="B62" s="38">
        <v>91621</v>
      </c>
      <c r="C62" s="28">
        <f t="shared" si="13"/>
        <v>91621</v>
      </c>
      <c r="D62" s="33">
        <f t="shared" si="14"/>
        <v>0</v>
      </c>
      <c r="E62" s="47">
        <f t="shared" si="15"/>
        <v>612</v>
      </c>
      <c r="F62" s="36">
        <f t="shared" si="16"/>
        <v>6.6796913371388652E-3</v>
      </c>
      <c r="H62" s="10">
        <f t="shared" si="24"/>
        <v>43</v>
      </c>
      <c r="I62" s="18">
        <f t="shared" si="18"/>
        <v>0.65189991940261938</v>
      </c>
      <c r="J62" s="18">
        <f t="shared" si="19"/>
        <v>2.1868530020703932E-2</v>
      </c>
      <c r="K62" s="18">
        <f t="shared" si="20"/>
        <v>1.4256092957950656E-2</v>
      </c>
      <c r="M62" s="10">
        <f t="shared" si="25"/>
        <v>42</v>
      </c>
      <c r="N62" s="12">
        <f t="shared" si="21"/>
        <v>0.10272170462387854</v>
      </c>
      <c r="O62" s="12">
        <f t="shared" si="22"/>
        <v>0.65841891859664547</v>
      </c>
      <c r="P62" s="12">
        <f t="shared" si="23"/>
        <v>6.7633913674858145E-2</v>
      </c>
    </row>
    <row r="63" spans="1:16" x14ac:dyDescent="0.2">
      <c r="A63" s="26">
        <f t="shared" si="17"/>
        <v>53</v>
      </c>
      <c r="B63" s="38">
        <v>91009</v>
      </c>
      <c r="C63" s="28">
        <f t="shared" si="13"/>
        <v>91009</v>
      </c>
      <c r="D63" s="33">
        <f t="shared" si="14"/>
        <v>0</v>
      </c>
      <c r="E63" s="47">
        <f t="shared" si="15"/>
        <v>651</v>
      </c>
      <c r="F63" s="36">
        <f t="shared" si="16"/>
        <v>7.1531387005680756E-3</v>
      </c>
      <c r="H63" s="10">
        <f t="shared" si="24"/>
        <v>44</v>
      </c>
      <c r="I63" s="18">
        <f t="shared" si="18"/>
        <v>0.64544546475506859</v>
      </c>
      <c r="J63" s="18">
        <f t="shared" si="19"/>
        <v>1.8644323671497584E-2</v>
      </c>
      <c r="K63" s="18">
        <f t="shared" si="20"/>
        <v>1.2033894157193685E-2</v>
      </c>
      <c r="M63" s="10">
        <f t="shared" si="25"/>
        <v>43</v>
      </c>
      <c r="N63" s="12">
        <f t="shared" si="21"/>
        <v>8.0853174603174607E-2</v>
      </c>
      <c r="O63" s="12">
        <f t="shared" si="22"/>
        <v>0.65189991940261938</v>
      </c>
      <c r="P63" s="12">
        <f t="shared" si="23"/>
        <v>5.2708178007255441E-2</v>
      </c>
    </row>
    <row r="64" spans="1:16" x14ac:dyDescent="0.2">
      <c r="A64" s="26">
        <f t="shared" si="17"/>
        <v>54</v>
      </c>
      <c r="B64" s="38">
        <v>90358</v>
      </c>
      <c r="C64" s="28">
        <f t="shared" si="13"/>
        <v>90358</v>
      </c>
      <c r="D64" s="33">
        <f t="shared" si="14"/>
        <v>0</v>
      </c>
      <c r="E64" s="47">
        <f t="shared" si="15"/>
        <v>693</v>
      </c>
      <c r="F64" s="36">
        <f t="shared" si="16"/>
        <v>7.6694924633126009E-3</v>
      </c>
      <c r="H64" s="10">
        <f t="shared" si="24"/>
        <v>45</v>
      </c>
      <c r="I64" s="18">
        <f t="shared" si="18"/>
        <v>0.6390549155990779</v>
      </c>
      <c r="J64" s="18">
        <f t="shared" si="19"/>
        <v>1.5506383712905452E-2</v>
      </c>
      <c r="K64" s="18">
        <f t="shared" si="20"/>
        <v>9.909430734897709E-3</v>
      </c>
      <c r="M64" s="10">
        <f t="shared" si="25"/>
        <v>44</v>
      </c>
      <c r="N64" s="12">
        <f t="shared" si="21"/>
        <v>6.2208850931677016E-2</v>
      </c>
      <c r="O64" s="12">
        <f t="shared" si="22"/>
        <v>0.64544546475506859</v>
      </c>
      <c r="P64" s="12">
        <f t="shared" si="23"/>
        <v>4.0152420701475053E-2</v>
      </c>
    </row>
    <row r="65" spans="1:16" x14ac:dyDescent="0.2">
      <c r="A65" s="26">
        <f t="shared" si="17"/>
        <v>55</v>
      </c>
      <c r="B65" s="38">
        <v>89665</v>
      </c>
      <c r="C65" s="28">
        <f t="shared" si="13"/>
        <v>89665</v>
      </c>
      <c r="D65" s="33">
        <f t="shared" si="14"/>
        <v>0</v>
      </c>
      <c r="E65" s="47">
        <f t="shared" si="15"/>
        <v>736</v>
      </c>
      <c r="F65" s="36">
        <f t="shared" si="16"/>
        <v>8.2083310098700728E-3</v>
      </c>
      <c r="H65" s="10">
        <f t="shared" si="24"/>
        <v>46</v>
      </c>
      <c r="I65" s="18">
        <f t="shared" si="18"/>
        <v>0.63272763920700781</v>
      </c>
      <c r="J65" s="18">
        <f t="shared" si="19"/>
        <v>1.2562543133195308E-2</v>
      </c>
      <c r="K65" s="18">
        <f t="shared" si="20"/>
        <v>7.9486682591028736E-3</v>
      </c>
      <c r="M65" s="10">
        <f t="shared" si="25"/>
        <v>45</v>
      </c>
      <c r="N65" s="12">
        <f t="shared" si="21"/>
        <v>4.6702467218771568E-2</v>
      </c>
      <c r="O65" s="12">
        <f t="shared" si="22"/>
        <v>0.6390549155990779</v>
      </c>
      <c r="P65" s="12">
        <f t="shared" si="23"/>
        <v>2.9845441246760765E-2</v>
      </c>
    </row>
    <row r="66" spans="1:16" x14ac:dyDescent="0.2">
      <c r="A66" s="26">
        <f t="shared" si="17"/>
        <v>56</v>
      </c>
      <c r="B66" s="38">
        <v>88929</v>
      </c>
      <c r="C66" s="28">
        <f t="shared" si="13"/>
        <v>88929</v>
      </c>
      <c r="D66" s="33">
        <f t="shared" si="14"/>
        <v>0</v>
      </c>
      <c r="E66" s="47">
        <f t="shared" si="15"/>
        <v>778</v>
      </c>
      <c r="F66" s="36">
        <f t="shared" si="16"/>
        <v>8.748552215812614E-3</v>
      </c>
      <c r="H66" s="10">
        <f t="shared" si="24"/>
        <v>47</v>
      </c>
      <c r="I66" s="18">
        <f t="shared" si="18"/>
        <v>0.62646300911584929</v>
      </c>
      <c r="J66" s="18">
        <f t="shared" si="19"/>
        <v>9.8882850241545899E-3</v>
      </c>
      <c r="K66" s="18">
        <f t="shared" si="20"/>
        <v>6.1946447912270726E-3</v>
      </c>
      <c r="M66" s="10">
        <f t="shared" si="25"/>
        <v>46</v>
      </c>
      <c r="N66" s="12">
        <f t="shared" si="21"/>
        <v>3.4139924085576256E-2</v>
      </c>
      <c r="O66" s="12">
        <f t="shared" si="22"/>
        <v>0.63272763920700781</v>
      </c>
      <c r="P66" s="12">
        <f t="shared" si="23"/>
        <v>2.1601273569373129E-2</v>
      </c>
    </row>
    <row r="67" spans="1:16" x14ac:dyDescent="0.2">
      <c r="A67" s="26">
        <f t="shared" si="17"/>
        <v>57</v>
      </c>
      <c r="B67" s="38">
        <v>88151</v>
      </c>
      <c r="C67" s="28">
        <f t="shared" si="13"/>
        <v>88151</v>
      </c>
      <c r="D67" s="33">
        <f t="shared" si="14"/>
        <v>0</v>
      </c>
      <c r="E67" s="47">
        <f t="shared" si="15"/>
        <v>822</v>
      </c>
      <c r="F67" s="36">
        <f t="shared" si="16"/>
        <v>9.3249083958208082E-3</v>
      </c>
      <c r="H67" s="10">
        <f t="shared" si="24"/>
        <v>48</v>
      </c>
      <c r="I67" s="18">
        <f t="shared" si="18"/>
        <v>0.62026040506519731</v>
      </c>
      <c r="J67" s="18">
        <f t="shared" si="19"/>
        <v>7.548309178743961E-3</v>
      </c>
      <c r="K67" s="18">
        <f t="shared" si="20"/>
        <v>4.6819173087650759E-3</v>
      </c>
      <c r="M67" s="10">
        <f t="shared" si="25"/>
        <v>47</v>
      </c>
      <c r="N67" s="12">
        <f t="shared" si="21"/>
        <v>2.4251639061421672E-2</v>
      </c>
      <c r="O67" s="12">
        <f t="shared" si="22"/>
        <v>0.62646300911584929</v>
      </c>
      <c r="P67" s="12">
        <f t="shared" si="23"/>
        <v>1.5192754782409692E-2</v>
      </c>
    </row>
    <row r="68" spans="1:16" x14ac:dyDescent="0.2">
      <c r="A68" s="26">
        <f t="shared" si="17"/>
        <v>58</v>
      </c>
      <c r="B68" s="38">
        <v>87329</v>
      </c>
      <c r="C68" s="28">
        <f t="shared" si="13"/>
        <v>87329</v>
      </c>
      <c r="D68" s="33">
        <f t="shared" si="14"/>
        <v>0</v>
      </c>
      <c r="E68" s="47">
        <f t="shared" si="15"/>
        <v>869</v>
      </c>
      <c r="F68" s="36">
        <f t="shared" si="16"/>
        <v>9.9508754251165128E-3</v>
      </c>
      <c r="H68" s="10">
        <f t="shared" si="24"/>
        <v>49</v>
      </c>
      <c r="I68" s="18">
        <f t="shared" si="18"/>
        <v>0.61411921293583893</v>
      </c>
      <c r="J68" s="18">
        <f t="shared" si="19"/>
        <v>5.574965493443754E-3</v>
      </c>
      <c r="K68" s="18">
        <f t="shared" si="20"/>
        <v>3.4236934209781393E-3</v>
      </c>
      <c r="M68" s="10">
        <f t="shared" si="25"/>
        <v>48</v>
      </c>
      <c r="N68" s="12">
        <f t="shared" si="21"/>
        <v>1.6703329882677708E-2</v>
      </c>
      <c r="O68" s="12">
        <f t="shared" si="22"/>
        <v>0.62026040506519731</v>
      </c>
      <c r="P68" s="12">
        <f t="shared" si="23"/>
        <v>1.0360414158967289E-2</v>
      </c>
    </row>
    <row r="69" spans="1:16" x14ac:dyDescent="0.2">
      <c r="A69" s="26">
        <f t="shared" si="17"/>
        <v>59</v>
      </c>
      <c r="B69" s="38">
        <v>86460</v>
      </c>
      <c r="C69" s="28">
        <f t="shared" si="13"/>
        <v>86460</v>
      </c>
      <c r="D69" s="33">
        <f t="shared" si="14"/>
        <v>0</v>
      </c>
      <c r="E69" s="47">
        <f t="shared" si="15"/>
        <v>922</v>
      </c>
      <c r="F69" s="36">
        <f t="shared" si="16"/>
        <v>1.0663890816562572E-2</v>
      </c>
      <c r="H69" s="10">
        <f t="shared" si="24"/>
        <v>50</v>
      </c>
      <c r="I69" s="18">
        <f t="shared" si="18"/>
        <v>0.60803882468894932</v>
      </c>
      <c r="J69" s="18">
        <f t="shared" si="19"/>
        <v>3.979037267080745E-3</v>
      </c>
      <c r="K69" s="18">
        <f t="shared" si="20"/>
        <v>2.4194091432693052E-3</v>
      </c>
      <c r="M69" s="10">
        <f t="shared" si="25"/>
        <v>49</v>
      </c>
      <c r="N69" s="12">
        <f t="shared" si="21"/>
        <v>1.1128364389233954E-2</v>
      </c>
      <c r="O69" s="12">
        <f t="shared" si="22"/>
        <v>0.61411921293583893</v>
      </c>
      <c r="P69" s="12">
        <f t="shared" si="23"/>
        <v>6.8341423799795735E-3</v>
      </c>
    </row>
    <row r="70" spans="1:16" x14ac:dyDescent="0.2">
      <c r="A70" s="26">
        <f t="shared" si="17"/>
        <v>60</v>
      </c>
      <c r="B70" s="38">
        <v>85538</v>
      </c>
      <c r="C70" s="28">
        <f t="shared" si="13"/>
        <v>85538</v>
      </c>
      <c r="D70" s="33">
        <f t="shared" si="14"/>
        <v>0</v>
      </c>
      <c r="E70" s="47">
        <f t="shared" si="15"/>
        <v>980</v>
      </c>
      <c r="F70" s="36">
        <f t="shared" si="16"/>
        <v>1.1456896350160162E-2</v>
      </c>
      <c r="H70" s="10">
        <f t="shared" si="24"/>
        <v>51</v>
      </c>
      <c r="I70" s="18">
        <f t="shared" si="18"/>
        <v>0.60201863830589042</v>
      </c>
      <c r="J70" s="18">
        <f t="shared" si="19"/>
        <v>2.728174603174603E-3</v>
      </c>
      <c r="K70" s="18">
        <f t="shared" si="20"/>
        <v>1.6424119596638875E-3</v>
      </c>
      <c r="M70" s="10">
        <f t="shared" si="25"/>
        <v>50</v>
      </c>
      <c r="N70" s="12">
        <f t="shared" si="21"/>
        <v>7.149327122153209E-3</v>
      </c>
      <c r="O70" s="12">
        <f t="shared" si="22"/>
        <v>0.60803882468894932</v>
      </c>
      <c r="P70" s="12">
        <f t="shared" si="23"/>
        <v>4.347068460670866E-3</v>
      </c>
    </row>
    <row r="71" spans="1:16" x14ac:dyDescent="0.2">
      <c r="A71" s="26">
        <f t="shared" si="17"/>
        <v>61</v>
      </c>
      <c r="B71" s="38">
        <v>84558</v>
      </c>
      <c r="C71" s="28">
        <f t="shared" si="13"/>
        <v>84558</v>
      </c>
      <c r="D71" s="33">
        <f t="shared" si="14"/>
        <v>0</v>
      </c>
      <c r="E71" s="47">
        <f t="shared" si="15"/>
        <v>1044</v>
      </c>
      <c r="F71" s="36">
        <f t="shared" si="16"/>
        <v>1.2346555027318526E-2</v>
      </c>
      <c r="H71" s="10">
        <f t="shared" si="24"/>
        <v>52</v>
      </c>
      <c r="I71" s="18">
        <f t="shared" si="18"/>
        <v>0.59605805772860443</v>
      </c>
      <c r="J71" s="18">
        <f t="shared" si="19"/>
        <v>1.7900276052449965E-3</v>
      </c>
      <c r="K71" s="18">
        <f t="shared" si="20"/>
        <v>1.0669603776629177E-3</v>
      </c>
      <c r="M71" s="10">
        <f t="shared" si="25"/>
        <v>51</v>
      </c>
      <c r="N71" s="12">
        <f t="shared" si="21"/>
        <v>4.421152518978606E-3</v>
      </c>
      <c r="O71" s="12">
        <f t="shared" si="22"/>
        <v>0.60201863830589042</v>
      </c>
      <c r="P71" s="12">
        <f t="shared" si="23"/>
        <v>2.6616162192181578E-3</v>
      </c>
    </row>
    <row r="72" spans="1:16" x14ac:dyDescent="0.2">
      <c r="A72" s="26">
        <f t="shared" si="17"/>
        <v>62</v>
      </c>
      <c r="B72" s="38">
        <v>83514</v>
      </c>
      <c r="C72" s="28">
        <f t="shared" si="13"/>
        <v>83514</v>
      </c>
      <c r="D72" s="33">
        <f t="shared" si="14"/>
        <v>0</v>
      </c>
      <c r="E72" s="47">
        <f t="shared" si="15"/>
        <v>1115</v>
      </c>
      <c r="F72" s="36">
        <f t="shared" si="16"/>
        <v>1.3351054912948726E-2</v>
      </c>
      <c r="H72" s="10">
        <f t="shared" si="24"/>
        <v>53</v>
      </c>
      <c r="I72" s="18">
        <f t="shared" si="18"/>
        <v>0.59015649280059845</v>
      </c>
      <c r="J72" s="18">
        <f t="shared" si="19"/>
        <v>1.1322463768115942E-3</v>
      </c>
      <c r="K72" s="18">
        <f t="shared" si="20"/>
        <v>6.682025507253153E-4</v>
      </c>
      <c r="M72" s="10">
        <f t="shared" si="25"/>
        <v>52</v>
      </c>
      <c r="N72" s="12">
        <f t="shared" si="21"/>
        <v>2.6311249137336095E-3</v>
      </c>
      <c r="O72" s="12">
        <f t="shared" si="22"/>
        <v>0.59605805772860443</v>
      </c>
      <c r="P72" s="12">
        <f t="shared" si="23"/>
        <v>1.5683032057213972E-3</v>
      </c>
    </row>
    <row r="73" spans="1:16" x14ac:dyDescent="0.2">
      <c r="A73" s="26">
        <f t="shared" si="17"/>
        <v>63</v>
      </c>
      <c r="B73" s="38">
        <v>82399</v>
      </c>
      <c r="C73" s="28">
        <f t="shared" si="13"/>
        <v>82399</v>
      </c>
      <c r="D73" s="33">
        <f t="shared" si="14"/>
        <v>0</v>
      </c>
      <c r="E73" s="47">
        <f t="shared" si="15"/>
        <v>1193</v>
      </c>
      <c r="F73" s="36">
        <f t="shared" si="16"/>
        <v>1.4478331047706889E-2</v>
      </c>
      <c r="H73" s="10">
        <f t="shared" si="24"/>
        <v>54</v>
      </c>
      <c r="I73" s="18">
        <f t="shared" si="18"/>
        <v>0.58431335920851335</v>
      </c>
      <c r="J73" s="18">
        <f t="shared" si="19"/>
        <v>6.9013112491373362E-4</v>
      </c>
      <c r="K73" s="18">
        <f t="shared" si="20"/>
        <v>4.0325283589269382E-4</v>
      </c>
      <c r="M73" s="10">
        <f t="shared" si="25"/>
        <v>53</v>
      </c>
      <c r="N73" s="12">
        <f t="shared" si="21"/>
        <v>1.4988785369220152E-3</v>
      </c>
      <c r="O73" s="12">
        <f t="shared" si="22"/>
        <v>0.59015649280059845</v>
      </c>
      <c r="P73" s="12">
        <f t="shared" si="23"/>
        <v>8.8457290048398883E-4</v>
      </c>
    </row>
    <row r="74" spans="1:16" x14ac:dyDescent="0.2">
      <c r="A74" s="26">
        <f t="shared" si="17"/>
        <v>64</v>
      </c>
      <c r="B74" s="38">
        <v>81206</v>
      </c>
      <c r="C74" s="28">
        <f t="shared" ref="C74:C105" si="26">lx(A74)</f>
        <v>81206</v>
      </c>
      <c r="D74" s="33">
        <f t="shared" ref="D74:D105" si="27">(B74&lt;&gt;C74)*1</f>
        <v>0</v>
      </c>
      <c r="E74" s="47">
        <f t="shared" ref="E74:E105" si="28">dx(A74)</f>
        <v>1280</v>
      </c>
      <c r="F74" s="36">
        <f t="shared" ref="F74:F105" si="29">qx(A74)</f>
        <v>1.5762382089993351E-2</v>
      </c>
      <c r="H74" s="10">
        <f t="shared" si="24"/>
        <v>55</v>
      </c>
      <c r="I74" s="18">
        <f t="shared" si="18"/>
        <v>0.57852807842427056</v>
      </c>
      <c r="J74" s="18">
        <f t="shared" si="19"/>
        <v>3.8819875776397513E-4</v>
      </c>
      <c r="K74" s="18">
        <f t="shared" si="20"/>
        <v>2.2458388137588142E-4</v>
      </c>
      <c r="M74" s="10">
        <f t="shared" si="25"/>
        <v>54</v>
      </c>
      <c r="N74" s="12">
        <f t="shared" si="21"/>
        <v>8.0874741200828162E-4</v>
      </c>
      <c r="O74" s="12">
        <f t="shared" si="22"/>
        <v>0.58431335920851335</v>
      </c>
      <c r="P74" s="12">
        <f t="shared" si="23"/>
        <v>4.7256191706175063E-4</v>
      </c>
    </row>
    <row r="75" spans="1:16" x14ac:dyDescent="0.2">
      <c r="A75" s="26">
        <f t="shared" ref="A75:A106" si="30">A74+1</f>
        <v>65</v>
      </c>
      <c r="B75" s="38">
        <v>79926</v>
      </c>
      <c r="C75" s="28">
        <f t="shared" si="26"/>
        <v>79926</v>
      </c>
      <c r="D75" s="33">
        <f t="shared" si="27"/>
        <v>0</v>
      </c>
      <c r="E75" s="47">
        <f t="shared" si="28"/>
        <v>1374</v>
      </c>
      <c r="F75" s="36">
        <f t="shared" si="29"/>
        <v>1.7190901583965169E-2</v>
      </c>
      <c r="H75" s="10">
        <f t="shared" si="24"/>
        <v>56</v>
      </c>
      <c r="I75" s="18">
        <f t="shared" si="18"/>
        <v>0.57280007764779262</v>
      </c>
      <c r="J75" s="18">
        <f t="shared" si="19"/>
        <v>2.1566597653554175E-4</v>
      </c>
      <c r="K75" s="18">
        <f t="shared" si="20"/>
        <v>1.2353348810554535E-4</v>
      </c>
      <c r="M75" s="10">
        <f t="shared" si="25"/>
        <v>55</v>
      </c>
      <c r="N75" s="12">
        <f t="shared" si="21"/>
        <v>4.2054865424430643E-4</v>
      </c>
      <c r="O75" s="12">
        <f t="shared" si="22"/>
        <v>0.57852807842427056</v>
      </c>
      <c r="P75" s="12">
        <f t="shared" si="23"/>
        <v>2.4329920482387156E-4</v>
      </c>
    </row>
    <row r="76" spans="1:16" x14ac:dyDescent="0.2">
      <c r="A76" s="26">
        <f t="shared" si="30"/>
        <v>66</v>
      </c>
      <c r="B76" s="38">
        <v>78552</v>
      </c>
      <c r="C76" s="28">
        <f t="shared" si="26"/>
        <v>78552</v>
      </c>
      <c r="D76" s="33">
        <f t="shared" si="27"/>
        <v>0</v>
      </c>
      <c r="E76" s="47">
        <f t="shared" si="28"/>
        <v>1474</v>
      </c>
      <c r="F76" s="36">
        <f t="shared" si="29"/>
        <v>1.8764639983705061E-2</v>
      </c>
      <c r="H76" s="10">
        <f t="shared" si="24"/>
        <v>57</v>
      </c>
      <c r="I76" s="18">
        <f t="shared" si="18"/>
        <v>0.5671287897502898</v>
      </c>
      <c r="J76" s="18">
        <f t="shared" si="19"/>
        <v>1.0783298826777088E-4</v>
      </c>
      <c r="K76" s="18">
        <f t="shared" si="20"/>
        <v>6.1155192131458089E-5</v>
      </c>
      <c r="M76" s="10">
        <f t="shared" si="25"/>
        <v>56</v>
      </c>
      <c r="N76" s="12">
        <f t="shared" si="21"/>
        <v>2.0488267770876466E-4</v>
      </c>
      <c r="O76" s="12">
        <f t="shared" si="22"/>
        <v>0.57280007764779262</v>
      </c>
      <c r="P76" s="12">
        <f t="shared" si="23"/>
        <v>1.1735681370026806E-4</v>
      </c>
    </row>
    <row r="77" spans="1:16" x14ac:dyDescent="0.2">
      <c r="A77" s="26">
        <f t="shared" si="30"/>
        <v>67</v>
      </c>
      <c r="B77" s="38">
        <v>77078</v>
      </c>
      <c r="C77" s="28">
        <f t="shared" si="26"/>
        <v>77078</v>
      </c>
      <c r="D77" s="33">
        <f t="shared" si="27"/>
        <v>0</v>
      </c>
      <c r="E77" s="47">
        <f t="shared" si="28"/>
        <v>1577</v>
      </c>
      <c r="F77" s="36">
        <f t="shared" si="29"/>
        <v>2.0459793974934481E-2</v>
      </c>
      <c r="H77" s="10">
        <f t="shared" si="24"/>
        <v>58</v>
      </c>
      <c r="I77" s="18">
        <f t="shared" si="18"/>
        <v>0.56151365321810864</v>
      </c>
      <c r="J77" s="18">
        <f t="shared" si="19"/>
        <v>5.3916494133885438E-5</v>
      </c>
      <c r="K77" s="18">
        <f t="shared" si="20"/>
        <v>3.0274847589830738E-5</v>
      </c>
      <c r="M77" s="10">
        <f t="shared" si="25"/>
        <v>57</v>
      </c>
      <c r="N77" s="12">
        <f t="shared" si="21"/>
        <v>9.7049689440993782E-5</v>
      </c>
      <c r="O77" s="12">
        <f t="shared" si="22"/>
        <v>0.5671287897502898</v>
      </c>
      <c r="P77" s="12">
        <f t="shared" si="23"/>
        <v>5.5039672918312285E-5</v>
      </c>
    </row>
    <row r="78" spans="1:16" x14ac:dyDescent="0.2">
      <c r="A78" s="26">
        <f t="shared" si="30"/>
        <v>68</v>
      </c>
      <c r="B78" s="38">
        <v>75501</v>
      </c>
      <c r="C78" s="28">
        <f t="shared" si="26"/>
        <v>75501</v>
      </c>
      <c r="D78" s="33">
        <f t="shared" si="27"/>
        <v>0</v>
      </c>
      <c r="E78" s="47">
        <f t="shared" si="28"/>
        <v>1685</v>
      </c>
      <c r="F78" s="36">
        <f t="shared" si="29"/>
        <v>2.2317585197547053E-2</v>
      </c>
      <c r="H78" s="10">
        <f t="shared" si="24"/>
        <v>59</v>
      </c>
      <c r="I78" s="18">
        <f t="shared" si="18"/>
        <v>0.5559541120971373</v>
      </c>
      <c r="J78" s="18">
        <f t="shared" si="19"/>
        <v>2.1566597653554176E-5</v>
      </c>
      <c r="K78" s="18">
        <f t="shared" si="20"/>
        <v>1.1990038649437917E-5</v>
      </c>
      <c r="M78" s="10">
        <f t="shared" si="25"/>
        <v>58</v>
      </c>
      <c r="N78" s="12">
        <f t="shared" si="21"/>
        <v>4.3133195307108351E-5</v>
      </c>
      <c r="O78" s="12">
        <f t="shared" si="22"/>
        <v>0.56151365321810864</v>
      </c>
      <c r="P78" s="12">
        <f t="shared" si="23"/>
        <v>2.4219878071864591E-5</v>
      </c>
    </row>
    <row r="79" spans="1:16" x14ac:dyDescent="0.2">
      <c r="A79" s="26">
        <f t="shared" si="30"/>
        <v>69</v>
      </c>
      <c r="B79" s="38">
        <v>73816</v>
      </c>
      <c r="C79" s="28">
        <f t="shared" si="26"/>
        <v>73816</v>
      </c>
      <c r="D79" s="33">
        <f t="shared" si="27"/>
        <v>0</v>
      </c>
      <c r="E79" s="47">
        <f t="shared" si="28"/>
        <v>1797</v>
      </c>
      <c r="F79" s="36">
        <f t="shared" si="29"/>
        <v>2.4344315595534842E-2</v>
      </c>
      <c r="H79" s="10">
        <f t="shared" si="24"/>
        <v>60</v>
      </c>
      <c r="I79" s="18">
        <f t="shared" si="18"/>
        <v>0.55044961593775965</v>
      </c>
      <c r="J79" s="18">
        <f t="shared" si="19"/>
        <v>1.0783298826777088E-5</v>
      </c>
      <c r="K79" s="18">
        <f t="shared" si="20"/>
        <v>5.9356626977415421E-6</v>
      </c>
      <c r="M79" s="10">
        <f t="shared" si="25"/>
        <v>59</v>
      </c>
      <c r="N79" s="12">
        <f t="shared" si="21"/>
        <v>2.1566597653554176E-5</v>
      </c>
      <c r="O79" s="12">
        <f t="shared" si="22"/>
        <v>0.5559541120971373</v>
      </c>
      <c r="P79" s="12">
        <f t="shared" si="23"/>
        <v>1.1990038649437917E-5</v>
      </c>
    </row>
    <row r="80" spans="1:16" x14ac:dyDescent="0.2">
      <c r="A80" s="26">
        <f t="shared" si="30"/>
        <v>70</v>
      </c>
      <c r="B80" s="38">
        <v>72019</v>
      </c>
      <c r="C80" s="28">
        <f t="shared" si="26"/>
        <v>72019</v>
      </c>
      <c r="D80" s="33">
        <f t="shared" si="27"/>
        <v>0</v>
      </c>
      <c r="E80" s="47">
        <f t="shared" si="28"/>
        <v>1914</v>
      </c>
      <c r="F80" s="36">
        <f t="shared" si="29"/>
        <v>2.657632013774143E-2</v>
      </c>
      <c r="H80" s="10">
        <f t="shared" si="24"/>
        <v>61</v>
      </c>
      <c r="I80" s="18">
        <f t="shared" si="18"/>
        <v>0.54499961974035616</v>
      </c>
      <c r="J80" s="18" t="e">
        <f t="shared" si="19"/>
        <v>#VALUE!</v>
      </c>
      <c r="K80" s="18" t="e">
        <f t="shared" si="20"/>
        <v>#VALUE!</v>
      </c>
      <c r="M80" s="10">
        <f t="shared" si="25"/>
        <v>60</v>
      </c>
      <c r="N80" s="12">
        <f t="shared" si="21"/>
        <v>1.0783298826777088E-5</v>
      </c>
      <c r="O80" s="12">
        <f t="shared" si="22"/>
        <v>0.55044961593775965</v>
      </c>
      <c r="P80" s="12">
        <f t="shared" si="23"/>
        <v>5.9356626977415421E-6</v>
      </c>
    </row>
    <row r="81" spans="1:16" x14ac:dyDescent="0.2">
      <c r="A81" s="26">
        <f t="shared" si="30"/>
        <v>71</v>
      </c>
      <c r="B81" s="38">
        <v>70105</v>
      </c>
      <c r="C81" s="28">
        <f t="shared" si="26"/>
        <v>70105</v>
      </c>
      <c r="D81" s="33">
        <f t="shared" si="27"/>
        <v>0</v>
      </c>
      <c r="E81" s="47">
        <f t="shared" si="28"/>
        <v>2035</v>
      </c>
      <c r="F81" s="36">
        <f t="shared" si="29"/>
        <v>2.9027886741316598E-2</v>
      </c>
      <c r="H81" s="10">
        <f t="shared" si="24"/>
        <v>62</v>
      </c>
      <c r="I81" s="18">
        <f t="shared" si="18"/>
        <v>0.53960358390134266</v>
      </c>
      <c r="J81" s="18" t="e">
        <f t="shared" si="19"/>
        <v>#VALUE!</v>
      </c>
      <c r="K81" s="18" t="e">
        <f t="shared" si="20"/>
        <v>#VALUE!</v>
      </c>
      <c r="M81" s="10">
        <f t="shared" si="25"/>
        <v>61</v>
      </c>
      <c r="N81" s="12" t="e">
        <f t="shared" si="21"/>
        <v>#VALUE!</v>
      </c>
      <c r="O81" s="12">
        <f t="shared" si="22"/>
        <v>0.54499961974035616</v>
      </c>
      <c r="P81" s="12" t="e">
        <f t="shared" si="23"/>
        <v>#VALUE!</v>
      </c>
    </row>
    <row r="82" spans="1:16" x14ac:dyDescent="0.2">
      <c r="A82" s="26">
        <f t="shared" si="30"/>
        <v>72</v>
      </c>
      <c r="B82" s="38">
        <v>68070</v>
      </c>
      <c r="C82" s="28">
        <f t="shared" si="26"/>
        <v>68070</v>
      </c>
      <c r="D82" s="33">
        <f t="shared" si="27"/>
        <v>0</v>
      </c>
      <c r="E82" s="47">
        <f t="shared" si="28"/>
        <v>2156</v>
      </c>
      <c r="F82" s="36">
        <f t="shared" si="29"/>
        <v>3.1673277508447187E-2</v>
      </c>
      <c r="H82" s="10">
        <f t="shared" si="24"/>
        <v>63</v>
      </c>
      <c r="I82" s="18">
        <f t="shared" si="18"/>
        <v>0.53426097415974516</v>
      </c>
      <c r="J82" s="18" t="e">
        <f t="shared" si="19"/>
        <v>#VALUE!</v>
      </c>
      <c r="K82" s="18" t="e">
        <f t="shared" si="20"/>
        <v>#VALUE!</v>
      </c>
      <c r="M82" s="10">
        <f t="shared" si="25"/>
        <v>62</v>
      </c>
      <c r="N82" s="12" t="e">
        <f t="shared" si="21"/>
        <v>#VALUE!</v>
      </c>
      <c r="O82" s="12">
        <f t="shared" si="22"/>
        <v>0.53960358390134266</v>
      </c>
      <c r="P82" s="12" t="e">
        <f t="shared" si="23"/>
        <v>#VALUE!</v>
      </c>
    </row>
    <row r="83" spans="1:16" x14ac:dyDescent="0.2">
      <c r="A83" s="26">
        <f t="shared" si="30"/>
        <v>73</v>
      </c>
      <c r="B83" s="38">
        <v>65914</v>
      </c>
      <c r="C83" s="28">
        <f t="shared" si="26"/>
        <v>65914</v>
      </c>
      <c r="D83" s="33">
        <f t="shared" si="27"/>
        <v>0</v>
      </c>
      <c r="E83" s="47">
        <f t="shared" si="28"/>
        <v>2277</v>
      </c>
      <c r="F83" s="36">
        <f t="shared" si="29"/>
        <v>3.45450131990169E-2</v>
      </c>
      <c r="H83" s="10">
        <f t="shared" si="24"/>
        <v>64</v>
      </c>
      <c r="I83" s="18">
        <f t="shared" si="18"/>
        <v>0.52897126154430218</v>
      </c>
      <c r="J83" s="18" t="e">
        <f t="shared" si="19"/>
        <v>#VALUE!</v>
      </c>
      <c r="K83" s="18" t="e">
        <f t="shared" si="20"/>
        <v>#VALUE!</v>
      </c>
      <c r="M83" s="10">
        <f t="shared" si="25"/>
        <v>63</v>
      </c>
      <c r="N83" s="12" t="e">
        <f t="shared" si="21"/>
        <v>#VALUE!</v>
      </c>
      <c r="O83" s="12">
        <f t="shared" si="22"/>
        <v>0.53426097415974516</v>
      </c>
      <c r="P83" s="12" t="e">
        <f t="shared" si="23"/>
        <v>#VALUE!</v>
      </c>
    </row>
    <row r="84" spans="1:16" x14ac:dyDescent="0.2">
      <c r="A84" s="26">
        <f t="shared" si="30"/>
        <v>74</v>
      </c>
      <c r="B84" s="38">
        <v>63637</v>
      </c>
      <c r="C84" s="28">
        <f t="shared" si="26"/>
        <v>63637</v>
      </c>
      <c r="D84" s="33">
        <f t="shared" si="27"/>
        <v>0</v>
      </c>
      <c r="E84" s="47">
        <f t="shared" si="28"/>
        <v>2398</v>
      </c>
      <c r="F84" s="36">
        <f t="shared" si="29"/>
        <v>3.7682480318053962E-2</v>
      </c>
      <c r="H84" s="10">
        <f t="shared" si="24"/>
        <v>65</v>
      </c>
      <c r="I84" s="18">
        <f t="shared" ref="I84:I115" si="31">techDF(H84,$I$4)</f>
        <v>0.52373392232109128</v>
      </c>
      <c r="J84" s="18" t="e">
        <f t="shared" ref="J84:J111" si="32">n_1qx($I$1,H84-1)</f>
        <v>#VALUE!</v>
      </c>
      <c r="K84" s="18" t="e">
        <f t="shared" ref="K84:K115" si="33">I84*J84</f>
        <v>#VALUE!</v>
      </c>
      <c r="M84" s="10">
        <f t="shared" si="25"/>
        <v>64</v>
      </c>
      <c r="N84" s="12" t="e">
        <f t="shared" ref="N84:N115" si="34">npx($I$1,M84)</f>
        <v>#VALUE!</v>
      </c>
      <c r="O84" s="12">
        <f t="shared" ref="O84:O111" si="35">techDF(M84,$I$4)</f>
        <v>0.52897126154430218</v>
      </c>
      <c r="P84" s="12" t="e">
        <f t="shared" ref="P84:P111" si="36">nEx($I$1,M84,$I$4)</f>
        <v>#VALUE!</v>
      </c>
    </row>
    <row r="85" spans="1:16" x14ac:dyDescent="0.2">
      <c r="A85" s="26">
        <f t="shared" si="30"/>
        <v>75</v>
      </c>
      <c r="B85" s="38">
        <v>61239</v>
      </c>
      <c r="C85" s="28">
        <f t="shared" si="26"/>
        <v>61239</v>
      </c>
      <c r="D85" s="33">
        <f t="shared" si="27"/>
        <v>0</v>
      </c>
      <c r="E85" s="47">
        <f t="shared" si="28"/>
        <v>2521</v>
      </c>
      <c r="F85" s="36">
        <f t="shared" si="29"/>
        <v>4.1166576854618789E-2</v>
      </c>
      <c r="H85" s="10">
        <f t="shared" ref="H85:H111" si="37">H84+1</f>
        <v>66</v>
      </c>
      <c r="I85" s="18">
        <f t="shared" si="31"/>
        <v>0.5185484379416746</v>
      </c>
      <c r="J85" s="18" t="e">
        <f t="shared" si="32"/>
        <v>#VALUE!</v>
      </c>
      <c r="K85" s="18" t="e">
        <f t="shared" si="33"/>
        <v>#VALUE!</v>
      </c>
      <c r="M85" s="10">
        <f t="shared" ref="M85:M111" si="38">M84+1</f>
        <v>65</v>
      </c>
      <c r="N85" s="12" t="e">
        <f t="shared" si="34"/>
        <v>#VALUE!</v>
      </c>
      <c r="O85" s="12">
        <f t="shared" si="35"/>
        <v>0.52373392232109128</v>
      </c>
      <c r="P85" s="12" t="e">
        <f t="shared" si="36"/>
        <v>#VALUE!</v>
      </c>
    </row>
    <row r="86" spans="1:16" x14ac:dyDescent="0.2">
      <c r="A86" s="26">
        <f t="shared" si="30"/>
        <v>76</v>
      </c>
      <c r="B86" s="38">
        <v>58718</v>
      </c>
      <c r="C86" s="28">
        <f t="shared" si="26"/>
        <v>58718</v>
      </c>
      <c r="D86" s="33">
        <f t="shared" si="27"/>
        <v>0</v>
      </c>
      <c r="E86" s="47">
        <f t="shared" si="28"/>
        <v>2646</v>
      </c>
      <c r="F86" s="36">
        <f t="shared" si="29"/>
        <v>4.5062842739875333E-2</v>
      </c>
      <c r="H86" s="10">
        <f t="shared" si="37"/>
        <v>67</v>
      </c>
      <c r="I86" s="18">
        <f t="shared" si="31"/>
        <v>0.51341429499175695</v>
      </c>
      <c r="J86" s="18" t="e">
        <f t="shared" si="32"/>
        <v>#VALUE!</v>
      </c>
      <c r="K86" s="18" t="e">
        <f t="shared" si="33"/>
        <v>#VALUE!</v>
      </c>
      <c r="M86" s="10">
        <f t="shared" si="38"/>
        <v>66</v>
      </c>
      <c r="N86" s="12" t="e">
        <f t="shared" si="34"/>
        <v>#VALUE!</v>
      </c>
      <c r="O86" s="12">
        <f t="shared" si="35"/>
        <v>0.5185484379416746</v>
      </c>
      <c r="P86" s="12" t="e">
        <f t="shared" si="36"/>
        <v>#VALUE!</v>
      </c>
    </row>
    <row r="87" spans="1:16" x14ac:dyDescent="0.2">
      <c r="A87" s="26">
        <f t="shared" si="30"/>
        <v>77</v>
      </c>
      <c r="B87" s="38">
        <v>56072</v>
      </c>
      <c r="C87" s="28">
        <f t="shared" si="26"/>
        <v>56072</v>
      </c>
      <c r="D87" s="33">
        <f t="shared" si="27"/>
        <v>0</v>
      </c>
      <c r="E87" s="47">
        <f t="shared" si="28"/>
        <v>2769</v>
      </c>
      <c r="F87" s="36">
        <f t="shared" si="29"/>
        <v>4.9382936224853763E-2</v>
      </c>
      <c r="H87" s="10">
        <f t="shared" si="37"/>
        <v>68</v>
      </c>
      <c r="I87" s="18">
        <f t="shared" si="31"/>
        <v>0.50833098514035346</v>
      </c>
      <c r="J87" s="18" t="e">
        <f t="shared" si="32"/>
        <v>#VALUE!</v>
      </c>
      <c r="K87" s="18" t="e">
        <f t="shared" si="33"/>
        <v>#VALUE!</v>
      </c>
      <c r="M87" s="10">
        <f t="shared" si="38"/>
        <v>67</v>
      </c>
      <c r="N87" s="12" t="e">
        <f t="shared" si="34"/>
        <v>#VALUE!</v>
      </c>
      <c r="O87" s="12">
        <f t="shared" si="35"/>
        <v>0.51341429499175695</v>
      </c>
      <c r="P87" s="12" t="e">
        <f t="shared" si="36"/>
        <v>#VALUE!</v>
      </c>
    </row>
    <row r="88" spans="1:16" x14ac:dyDescent="0.2">
      <c r="A88" s="26">
        <f t="shared" si="30"/>
        <v>78</v>
      </c>
      <c r="B88" s="38">
        <v>53303</v>
      </c>
      <c r="C88" s="28">
        <f t="shared" si="26"/>
        <v>53303</v>
      </c>
      <c r="D88" s="33">
        <f t="shared" si="27"/>
        <v>0</v>
      </c>
      <c r="E88" s="47">
        <f t="shared" si="28"/>
        <v>2892</v>
      </c>
      <c r="F88" s="36">
        <f t="shared" si="29"/>
        <v>5.4255858019248447E-2</v>
      </c>
      <c r="H88" s="10">
        <f t="shared" si="37"/>
        <v>69</v>
      </c>
      <c r="I88" s="18">
        <f t="shared" si="31"/>
        <v>0.50329800508945888</v>
      </c>
      <c r="J88" s="18" t="e">
        <f t="shared" si="32"/>
        <v>#VALUE!</v>
      </c>
      <c r="K88" s="18" t="e">
        <f t="shared" si="33"/>
        <v>#VALUE!</v>
      </c>
      <c r="M88" s="10">
        <f t="shared" si="38"/>
        <v>68</v>
      </c>
      <c r="N88" s="12" t="e">
        <f t="shared" si="34"/>
        <v>#VALUE!</v>
      </c>
      <c r="O88" s="12">
        <f t="shared" si="35"/>
        <v>0.50833098514035346</v>
      </c>
      <c r="P88" s="12" t="e">
        <f t="shared" si="36"/>
        <v>#VALUE!</v>
      </c>
    </row>
    <row r="89" spans="1:16" x14ac:dyDescent="0.2">
      <c r="A89" s="26">
        <f t="shared" si="30"/>
        <v>79</v>
      </c>
      <c r="B89" s="38">
        <v>50411</v>
      </c>
      <c r="C89" s="28">
        <f t="shared" si="26"/>
        <v>50411</v>
      </c>
      <c r="D89" s="33">
        <f t="shared" si="27"/>
        <v>0</v>
      </c>
      <c r="E89" s="47">
        <f t="shared" si="28"/>
        <v>3021</v>
      </c>
      <c r="F89" s="36">
        <f t="shared" si="29"/>
        <v>5.9927396798317829E-2</v>
      </c>
      <c r="H89" s="10">
        <f t="shared" si="37"/>
        <v>70</v>
      </c>
      <c r="I89" s="18">
        <f t="shared" si="31"/>
        <v>0.49831485652421659</v>
      </c>
      <c r="J89" s="18" t="e">
        <f t="shared" si="32"/>
        <v>#VALUE!</v>
      </c>
      <c r="K89" s="18" t="e">
        <f t="shared" si="33"/>
        <v>#VALUE!</v>
      </c>
      <c r="M89" s="10">
        <f t="shared" si="38"/>
        <v>69</v>
      </c>
      <c r="N89" s="12" t="e">
        <f t="shared" si="34"/>
        <v>#VALUE!</v>
      </c>
      <c r="O89" s="12">
        <f t="shared" si="35"/>
        <v>0.50329800508945888</v>
      </c>
      <c r="P89" s="12" t="e">
        <f t="shared" si="36"/>
        <v>#VALUE!</v>
      </c>
    </row>
    <row r="90" spans="1:16" x14ac:dyDescent="0.2">
      <c r="A90" s="26">
        <f t="shared" si="30"/>
        <v>80</v>
      </c>
      <c r="B90" s="38">
        <v>47390</v>
      </c>
      <c r="C90" s="28">
        <f t="shared" si="26"/>
        <v>47390</v>
      </c>
      <c r="D90" s="33">
        <f t="shared" si="27"/>
        <v>0</v>
      </c>
      <c r="E90" s="47">
        <f t="shared" si="28"/>
        <v>3156</v>
      </c>
      <c r="F90" s="36">
        <f t="shared" si="29"/>
        <v>6.6596328339312089E-2</v>
      </c>
      <c r="H90" s="10">
        <f t="shared" si="37"/>
        <v>71</v>
      </c>
      <c r="I90" s="18">
        <f t="shared" si="31"/>
        <v>0.4933810460635808</v>
      </c>
      <c r="J90" s="18" t="e">
        <f t="shared" si="32"/>
        <v>#VALUE!</v>
      </c>
      <c r="K90" s="18" t="e">
        <f t="shared" si="33"/>
        <v>#VALUE!</v>
      </c>
      <c r="M90" s="10">
        <f t="shared" si="38"/>
        <v>70</v>
      </c>
      <c r="N90" s="12" t="e">
        <f t="shared" si="34"/>
        <v>#VALUE!</v>
      </c>
      <c r="O90" s="12">
        <f t="shared" si="35"/>
        <v>0.49831485652421659</v>
      </c>
      <c r="P90" s="12" t="e">
        <f t="shared" si="36"/>
        <v>#VALUE!</v>
      </c>
    </row>
    <row r="91" spans="1:16" x14ac:dyDescent="0.2">
      <c r="A91" s="26">
        <f t="shared" si="30"/>
        <v>81</v>
      </c>
      <c r="B91" s="38">
        <v>44234</v>
      </c>
      <c r="C91" s="28">
        <f t="shared" si="26"/>
        <v>44234</v>
      </c>
      <c r="D91" s="33">
        <f t="shared" si="27"/>
        <v>0</v>
      </c>
      <c r="E91" s="47">
        <f t="shared" si="28"/>
        <v>3288</v>
      </c>
      <c r="F91" s="36">
        <f t="shared" si="29"/>
        <v>7.4331961839309124E-2</v>
      </c>
      <c r="H91" s="10">
        <f t="shared" si="37"/>
        <v>72</v>
      </c>
      <c r="I91" s="18">
        <f t="shared" si="31"/>
        <v>0.4884960852114662</v>
      </c>
      <c r="J91" s="18" t="e">
        <f t="shared" si="32"/>
        <v>#VALUE!</v>
      </c>
      <c r="K91" s="18" t="e">
        <f t="shared" si="33"/>
        <v>#VALUE!</v>
      </c>
      <c r="M91" s="10">
        <f t="shared" si="38"/>
        <v>71</v>
      </c>
      <c r="N91" s="12" t="e">
        <f t="shared" si="34"/>
        <v>#VALUE!</v>
      </c>
      <c r="O91" s="12">
        <f t="shared" si="35"/>
        <v>0.4933810460635808</v>
      </c>
      <c r="P91" s="12" t="e">
        <f t="shared" si="36"/>
        <v>#VALUE!</v>
      </c>
    </row>
    <row r="92" spans="1:16" x14ac:dyDescent="0.2">
      <c r="A92" s="26">
        <f t="shared" si="30"/>
        <v>82</v>
      </c>
      <c r="B92" s="38">
        <v>40946</v>
      </c>
      <c r="C92" s="28">
        <f t="shared" si="26"/>
        <v>40946</v>
      </c>
      <c r="D92" s="33">
        <f t="shared" si="27"/>
        <v>0</v>
      </c>
      <c r="E92" s="47">
        <f t="shared" si="28"/>
        <v>3400</v>
      </c>
      <c r="F92" s="36">
        <f t="shared" si="29"/>
        <v>8.303619401162507E-2</v>
      </c>
      <c r="H92" s="10">
        <f t="shared" si="37"/>
        <v>73</v>
      </c>
      <c r="I92" s="18">
        <f t="shared" si="31"/>
        <v>0.48365949030838234</v>
      </c>
      <c r="J92" s="18" t="e">
        <f t="shared" si="32"/>
        <v>#VALUE!</v>
      </c>
      <c r="K92" s="18" t="e">
        <f t="shared" si="33"/>
        <v>#VALUE!</v>
      </c>
      <c r="M92" s="10">
        <f t="shared" si="38"/>
        <v>72</v>
      </c>
      <c r="N92" s="12" t="e">
        <f t="shared" si="34"/>
        <v>#VALUE!</v>
      </c>
      <c r="O92" s="12">
        <f t="shared" si="35"/>
        <v>0.4884960852114662</v>
      </c>
      <c r="P92" s="12" t="e">
        <f t="shared" si="36"/>
        <v>#VALUE!</v>
      </c>
    </row>
    <row r="93" spans="1:16" x14ac:dyDescent="0.2">
      <c r="A93" s="26">
        <f t="shared" si="30"/>
        <v>83</v>
      </c>
      <c r="B93" s="38">
        <v>37546</v>
      </c>
      <c r="C93" s="28">
        <f t="shared" si="26"/>
        <v>37546</v>
      </c>
      <c r="D93" s="33">
        <f t="shared" si="27"/>
        <v>0</v>
      </c>
      <c r="E93" s="47">
        <f t="shared" si="28"/>
        <v>3474</v>
      </c>
      <c r="F93" s="36">
        <f t="shared" si="29"/>
        <v>9.2526500825653862E-2</v>
      </c>
      <c r="H93" s="10">
        <f t="shared" si="37"/>
        <v>74</v>
      </c>
      <c r="I93" s="18">
        <f t="shared" si="31"/>
        <v>0.47887078248354686</v>
      </c>
      <c r="J93" s="18" t="e">
        <f t="shared" si="32"/>
        <v>#VALUE!</v>
      </c>
      <c r="K93" s="18" t="e">
        <f t="shared" si="33"/>
        <v>#VALUE!</v>
      </c>
      <c r="M93" s="10">
        <f t="shared" si="38"/>
        <v>73</v>
      </c>
      <c r="N93" s="12" t="e">
        <f t="shared" si="34"/>
        <v>#VALUE!</v>
      </c>
      <c r="O93" s="12">
        <f t="shared" si="35"/>
        <v>0.48365949030838234</v>
      </c>
      <c r="P93" s="12" t="e">
        <f t="shared" si="36"/>
        <v>#VALUE!</v>
      </c>
    </row>
    <row r="94" spans="1:16" x14ac:dyDescent="0.2">
      <c r="A94" s="26">
        <f t="shared" si="30"/>
        <v>84</v>
      </c>
      <c r="B94" s="38">
        <v>34072</v>
      </c>
      <c r="C94" s="28">
        <f t="shared" si="26"/>
        <v>34072</v>
      </c>
      <c r="D94" s="33">
        <f t="shared" si="27"/>
        <v>0</v>
      </c>
      <c r="E94" s="47">
        <f t="shared" si="28"/>
        <v>3497</v>
      </c>
      <c r="F94" s="36">
        <f t="shared" si="29"/>
        <v>0.10263559521014323</v>
      </c>
      <c r="H94" s="10">
        <f t="shared" si="37"/>
        <v>75</v>
      </c>
      <c r="I94" s="18">
        <f t="shared" si="31"/>
        <v>0.47412948760747214</v>
      </c>
      <c r="J94" s="18" t="e">
        <f t="shared" si="32"/>
        <v>#VALUE!</v>
      </c>
      <c r="K94" s="18" t="e">
        <f t="shared" si="33"/>
        <v>#VALUE!</v>
      </c>
      <c r="M94" s="10">
        <f t="shared" si="38"/>
        <v>74</v>
      </c>
      <c r="N94" s="12" t="e">
        <f t="shared" si="34"/>
        <v>#VALUE!</v>
      </c>
      <c r="O94" s="12">
        <f t="shared" si="35"/>
        <v>0.47887078248354686</v>
      </c>
      <c r="P94" s="12" t="e">
        <f t="shared" si="36"/>
        <v>#VALUE!</v>
      </c>
    </row>
    <row r="95" spans="1:16" x14ac:dyDescent="0.2">
      <c r="A95" s="26">
        <f t="shared" si="30"/>
        <v>85</v>
      </c>
      <c r="B95" s="38">
        <v>30575</v>
      </c>
      <c r="C95" s="28">
        <f t="shared" si="26"/>
        <v>30575</v>
      </c>
      <c r="D95" s="33">
        <f t="shared" si="27"/>
        <v>0</v>
      </c>
      <c r="E95" s="47">
        <f t="shared" si="28"/>
        <v>3471</v>
      </c>
      <c r="F95" s="36">
        <f t="shared" si="29"/>
        <v>0.11352412101390025</v>
      </c>
      <c r="H95" s="10">
        <f t="shared" si="37"/>
        <v>76</v>
      </c>
      <c r="I95" s="18">
        <f t="shared" si="31"/>
        <v>0.46943513624502187</v>
      </c>
      <c r="J95" s="18" t="e">
        <f t="shared" si="32"/>
        <v>#VALUE!</v>
      </c>
      <c r="K95" s="18" t="e">
        <f t="shared" si="33"/>
        <v>#VALUE!</v>
      </c>
      <c r="M95" s="10">
        <f t="shared" si="38"/>
        <v>75</v>
      </c>
      <c r="N95" s="12" t="e">
        <f t="shared" si="34"/>
        <v>#VALUE!</v>
      </c>
      <c r="O95" s="12">
        <f t="shared" si="35"/>
        <v>0.47412948760747214</v>
      </c>
      <c r="P95" s="12" t="e">
        <f t="shared" si="36"/>
        <v>#VALUE!</v>
      </c>
    </row>
    <row r="96" spans="1:16" x14ac:dyDescent="0.2">
      <c r="A96" s="26">
        <f t="shared" si="30"/>
        <v>86</v>
      </c>
      <c r="B96" s="38">
        <v>27104</v>
      </c>
      <c r="C96" s="28">
        <f t="shared" si="26"/>
        <v>27104</v>
      </c>
      <c r="D96" s="33">
        <f t="shared" si="27"/>
        <v>0</v>
      </c>
      <c r="E96" s="47">
        <f t="shared" si="28"/>
        <v>3397</v>
      </c>
      <c r="F96" s="36">
        <f t="shared" si="29"/>
        <v>0.12533205430932703</v>
      </c>
      <c r="H96" s="10">
        <f t="shared" si="37"/>
        <v>77</v>
      </c>
      <c r="I96" s="18">
        <f t="shared" si="31"/>
        <v>0.46478726360893258</v>
      </c>
      <c r="J96" s="18" t="e">
        <f t="shared" si="32"/>
        <v>#VALUE!</v>
      </c>
      <c r="K96" s="18" t="e">
        <f t="shared" si="33"/>
        <v>#VALUE!</v>
      </c>
      <c r="M96" s="10">
        <f t="shared" si="38"/>
        <v>76</v>
      </c>
      <c r="N96" s="12" t="e">
        <f t="shared" si="34"/>
        <v>#VALUE!</v>
      </c>
      <c r="O96" s="12">
        <f t="shared" si="35"/>
        <v>0.46943513624502187</v>
      </c>
      <c r="P96" s="12" t="e">
        <f t="shared" si="36"/>
        <v>#VALUE!</v>
      </c>
    </row>
    <row r="97" spans="1:16" x14ac:dyDescent="0.2">
      <c r="A97" s="26">
        <f t="shared" si="30"/>
        <v>87</v>
      </c>
      <c r="B97" s="38">
        <v>23707</v>
      </c>
      <c r="C97" s="28">
        <f t="shared" si="26"/>
        <v>23707</v>
      </c>
      <c r="D97" s="33">
        <f t="shared" si="27"/>
        <v>0</v>
      </c>
      <c r="E97" s="47">
        <f t="shared" si="28"/>
        <v>3272</v>
      </c>
      <c r="F97" s="36">
        <f t="shared" si="29"/>
        <v>0.13801830682920657</v>
      </c>
      <c r="H97" s="10">
        <f t="shared" si="37"/>
        <v>78</v>
      </c>
      <c r="I97" s="18">
        <f t="shared" si="31"/>
        <v>0.46018540951379466</v>
      </c>
      <c r="J97" s="18" t="e">
        <f t="shared" si="32"/>
        <v>#VALUE!</v>
      </c>
      <c r="K97" s="18" t="e">
        <f t="shared" si="33"/>
        <v>#VALUE!</v>
      </c>
      <c r="M97" s="10">
        <f t="shared" si="38"/>
        <v>77</v>
      </c>
      <c r="N97" s="12" t="e">
        <f t="shared" si="34"/>
        <v>#VALUE!</v>
      </c>
      <c r="O97" s="12">
        <f t="shared" si="35"/>
        <v>0.46478726360893258</v>
      </c>
      <c r="P97" s="12" t="e">
        <f t="shared" si="36"/>
        <v>#VALUE!</v>
      </c>
    </row>
    <row r="98" spans="1:16" x14ac:dyDescent="0.2">
      <c r="A98" s="26">
        <f t="shared" si="30"/>
        <v>88</v>
      </c>
      <c r="B98" s="38">
        <v>20435</v>
      </c>
      <c r="C98" s="28">
        <f t="shared" si="26"/>
        <v>20435</v>
      </c>
      <c r="D98" s="33">
        <f t="shared" si="27"/>
        <v>0</v>
      </c>
      <c r="E98" s="47">
        <f t="shared" si="28"/>
        <v>3097</v>
      </c>
      <c r="F98" s="36">
        <f t="shared" si="29"/>
        <v>0.15155370687545877</v>
      </c>
      <c r="H98" s="10">
        <f t="shared" si="37"/>
        <v>79</v>
      </c>
      <c r="I98" s="18">
        <f t="shared" si="31"/>
        <v>0.4556291183304898</v>
      </c>
      <c r="J98" s="18" t="e">
        <f t="shared" si="32"/>
        <v>#VALUE!</v>
      </c>
      <c r="K98" s="18" t="e">
        <f t="shared" si="33"/>
        <v>#VALUE!</v>
      </c>
      <c r="M98" s="10">
        <f t="shared" si="38"/>
        <v>78</v>
      </c>
      <c r="N98" s="12" t="e">
        <f t="shared" si="34"/>
        <v>#VALUE!</v>
      </c>
      <c r="O98" s="12">
        <f t="shared" si="35"/>
        <v>0.46018540951379466</v>
      </c>
      <c r="P98" s="12" t="e">
        <f t="shared" si="36"/>
        <v>#VALUE!</v>
      </c>
    </row>
    <row r="99" spans="1:16" x14ac:dyDescent="0.2">
      <c r="A99" s="26">
        <f t="shared" si="30"/>
        <v>89</v>
      </c>
      <c r="B99" s="38">
        <v>17338</v>
      </c>
      <c r="C99" s="28">
        <f t="shared" si="26"/>
        <v>17338</v>
      </c>
      <c r="D99" s="33">
        <f t="shared" si="27"/>
        <v>0</v>
      </c>
      <c r="E99" s="47">
        <f t="shared" si="28"/>
        <v>2874</v>
      </c>
      <c r="F99" s="36">
        <f t="shared" si="29"/>
        <v>0.16576306379051794</v>
      </c>
      <c r="H99" s="10">
        <f t="shared" si="37"/>
        <v>80</v>
      </c>
      <c r="I99" s="18">
        <f t="shared" si="31"/>
        <v>0.45111793894107893</v>
      </c>
      <c r="J99" s="18" t="e">
        <f t="shared" si="32"/>
        <v>#VALUE!</v>
      </c>
      <c r="K99" s="18" t="e">
        <f t="shared" si="33"/>
        <v>#VALUE!</v>
      </c>
      <c r="M99" s="10">
        <f t="shared" si="38"/>
        <v>79</v>
      </c>
      <c r="N99" s="12" t="e">
        <f t="shared" si="34"/>
        <v>#VALUE!</v>
      </c>
      <c r="O99" s="12">
        <f t="shared" si="35"/>
        <v>0.4556291183304898</v>
      </c>
      <c r="P99" s="12" t="e">
        <f t="shared" si="36"/>
        <v>#VALUE!</v>
      </c>
    </row>
    <row r="100" spans="1:16" x14ac:dyDescent="0.2">
      <c r="A100" s="26">
        <f t="shared" si="30"/>
        <v>90</v>
      </c>
      <c r="B100" s="38">
        <v>14464</v>
      </c>
      <c r="C100" s="28">
        <f t="shared" si="26"/>
        <v>14464</v>
      </c>
      <c r="D100" s="33">
        <f t="shared" si="27"/>
        <v>0</v>
      </c>
      <c r="E100" s="47">
        <f t="shared" si="28"/>
        <v>2612</v>
      </c>
      <c r="F100" s="36">
        <f t="shared" si="29"/>
        <v>0.18058628318584072</v>
      </c>
      <c r="H100" s="10">
        <f t="shared" si="37"/>
        <v>81</v>
      </c>
      <c r="I100" s="18">
        <f t="shared" si="31"/>
        <v>0.44665142469413754</v>
      </c>
      <c r="J100" s="18" t="e">
        <f t="shared" si="32"/>
        <v>#VALUE!</v>
      </c>
      <c r="K100" s="18" t="e">
        <f t="shared" si="33"/>
        <v>#VALUE!</v>
      </c>
      <c r="M100" s="10">
        <f t="shared" si="38"/>
        <v>80</v>
      </c>
      <c r="N100" s="12" t="e">
        <f t="shared" si="34"/>
        <v>#VALUE!</v>
      </c>
      <c r="O100" s="12">
        <f t="shared" si="35"/>
        <v>0.45111793894107893</v>
      </c>
      <c r="P100" s="12" t="e">
        <f t="shared" si="36"/>
        <v>#VALUE!</v>
      </c>
    </row>
    <row r="101" spans="1:16" x14ac:dyDescent="0.2">
      <c r="A101" s="26">
        <f t="shared" si="30"/>
        <v>91</v>
      </c>
      <c r="B101" s="38">
        <v>11852</v>
      </c>
      <c r="C101" s="28">
        <f t="shared" si="26"/>
        <v>11852</v>
      </c>
      <c r="D101" s="33">
        <f t="shared" si="27"/>
        <v>0</v>
      </c>
      <c r="E101" s="47">
        <f t="shared" si="28"/>
        <v>2326</v>
      </c>
      <c r="F101" s="36">
        <f t="shared" si="29"/>
        <v>0.19625379682753966</v>
      </c>
      <c r="H101" s="10">
        <f t="shared" si="37"/>
        <v>82</v>
      </c>
      <c r="I101" s="18">
        <f t="shared" si="31"/>
        <v>0.44222913336053221</v>
      </c>
      <c r="J101" s="18" t="e">
        <f t="shared" si="32"/>
        <v>#VALUE!</v>
      </c>
      <c r="K101" s="18" t="e">
        <f t="shared" si="33"/>
        <v>#VALUE!</v>
      </c>
      <c r="M101" s="10">
        <f t="shared" si="38"/>
        <v>81</v>
      </c>
      <c r="N101" s="12" t="e">
        <f t="shared" si="34"/>
        <v>#VALUE!</v>
      </c>
      <c r="O101" s="12">
        <f t="shared" si="35"/>
        <v>0.44665142469413754</v>
      </c>
      <c r="P101" s="12" t="e">
        <f t="shared" si="36"/>
        <v>#VALUE!</v>
      </c>
    </row>
    <row r="102" spans="1:16" x14ac:dyDescent="0.2">
      <c r="A102" s="26">
        <f t="shared" si="30"/>
        <v>92</v>
      </c>
      <c r="B102" s="38">
        <v>9526</v>
      </c>
      <c r="C102" s="28">
        <f t="shared" si="26"/>
        <v>9526</v>
      </c>
      <c r="D102" s="33">
        <f t="shared" si="27"/>
        <v>0</v>
      </c>
      <c r="E102" s="47">
        <f t="shared" si="28"/>
        <v>2028</v>
      </c>
      <c r="F102" s="36">
        <f t="shared" si="29"/>
        <v>0.21289103506193577</v>
      </c>
      <c r="H102" s="10">
        <f t="shared" si="37"/>
        <v>83</v>
      </c>
      <c r="I102" s="18">
        <f t="shared" si="31"/>
        <v>0.4378506270896359</v>
      </c>
      <c r="J102" s="18" t="e">
        <f t="shared" si="32"/>
        <v>#VALUE!</v>
      </c>
      <c r="K102" s="18" t="e">
        <f t="shared" si="33"/>
        <v>#VALUE!</v>
      </c>
      <c r="M102" s="10">
        <f t="shared" si="38"/>
        <v>82</v>
      </c>
      <c r="N102" s="12" t="e">
        <f t="shared" si="34"/>
        <v>#VALUE!</v>
      </c>
      <c r="O102" s="12">
        <f t="shared" si="35"/>
        <v>0.44222913336053221</v>
      </c>
      <c r="P102" s="12" t="e">
        <f t="shared" si="36"/>
        <v>#VALUE!</v>
      </c>
    </row>
    <row r="103" spans="1:16" x14ac:dyDescent="0.2">
      <c r="A103" s="26">
        <f t="shared" si="30"/>
        <v>93</v>
      </c>
      <c r="B103" s="38">
        <v>7498</v>
      </c>
      <c r="C103" s="28">
        <f t="shared" si="26"/>
        <v>7498</v>
      </c>
      <c r="D103" s="33">
        <f t="shared" si="27"/>
        <v>0</v>
      </c>
      <c r="E103" s="47">
        <f t="shared" si="28"/>
        <v>1729</v>
      </c>
      <c r="F103" s="36">
        <f t="shared" si="29"/>
        <v>0.23059482528674313</v>
      </c>
      <c r="H103" s="10">
        <f t="shared" si="37"/>
        <v>84</v>
      </c>
      <c r="I103" s="18">
        <f t="shared" si="31"/>
        <v>0.4335154723659761</v>
      </c>
      <c r="J103" s="18" t="e">
        <f t="shared" si="32"/>
        <v>#VALUE!</v>
      </c>
      <c r="K103" s="18" t="e">
        <f t="shared" si="33"/>
        <v>#VALUE!</v>
      </c>
      <c r="M103" s="10">
        <f t="shared" si="38"/>
        <v>83</v>
      </c>
      <c r="N103" s="12" t="e">
        <f t="shared" si="34"/>
        <v>#VALUE!</v>
      </c>
      <c r="O103" s="12">
        <f t="shared" si="35"/>
        <v>0.4378506270896359</v>
      </c>
      <c r="P103" s="12" t="e">
        <f t="shared" si="36"/>
        <v>#VALUE!</v>
      </c>
    </row>
    <row r="104" spans="1:16" x14ac:dyDescent="0.2">
      <c r="A104" s="26">
        <f t="shared" si="30"/>
        <v>94</v>
      </c>
      <c r="B104" s="38">
        <v>5769</v>
      </c>
      <c r="C104" s="28">
        <f t="shared" si="26"/>
        <v>5769</v>
      </c>
      <c r="D104" s="33">
        <f t="shared" si="27"/>
        <v>0</v>
      </c>
      <c r="E104" s="47">
        <f t="shared" si="28"/>
        <v>1438</v>
      </c>
      <c r="F104" s="36">
        <f t="shared" si="29"/>
        <v>0.24926330386548795</v>
      </c>
      <c r="H104" s="10">
        <f t="shared" si="37"/>
        <v>85</v>
      </c>
      <c r="I104" s="18">
        <f t="shared" si="31"/>
        <v>0.42922323996631301</v>
      </c>
      <c r="J104" s="18" t="e">
        <f t="shared" si="32"/>
        <v>#VALUE!</v>
      </c>
      <c r="K104" s="18" t="e">
        <f t="shared" si="33"/>
        <v>#VALUE!</v>
      </c>
      <c r="M104" s="10">
        <f t="shared" si="38"/>
        <v>84</v>
      </c>
      <c r="N104" s="12" t="e">
        <f t="shared" si="34"/>
        <v>#VALUE!</v>
      </c>
      <c r="O104" s="12">
        <f t="shared" si="35"/>
        <v>0.4335154723659761</v>
      </c>
      <c r="P104" s="12" t="e">
        <f t="shared" si="36"/>
        <v>#VALUE!</v>
      </c>
    </row>
    <row r="105" spans="1:16" x14ac:dyDescent="0.2">
      <c r="A105" s="26">
        <f t="shared" si="30"/>
        <v>95</v>
      </c>
      <c r="B105" s="38">
        <v>4331</v>
      </c>
      <c r="C105" s="28">
        <f t="shared" si="26"/>
        <v>4331</v>
      </c>
      <c r="D105" s="33">
        <f t="shared" si="27"/>
        <v>0</v>
      </c>
      <c r="E105" s="47">
        <f t="shared" si="28"/>
        <v>1165</v>
      </c>
      <c r="F105" s="36">
        <f t="shared" si="29"/>
        <v>0.26899099515123526</v>
      </c>
      <c r="H105" s="10">
        <f t="shared" si="37"/>
        <v>86</v>
      </c>
      <c r="I105" s="18">
        <f t="shared" si="31"/>
        <v>0.42497350491714153</v>
      </c>
      <c r="J105" s="18" t="e">
        <f t="shared" si="32"/>
        <v>#VALUE!</v>
      </c>
      <c r="K105" s="18" t="e">
        <f t="shared" si="33"/>
        <v>#VALUE!</v>
      </c>
      <c r="M105" s="10">
        <f t="shared" si="38"/>
        <v>85</v>
      </c>
      <c r="N105" s="12" t="e">
        <f t="shared" si="34"/>
        <v>#VALUE!</v>
      </c>
      <c r="O105" s="12">
        <f t="shared" si="35"/>
        <v>0.42922323996631301</v>
      </c>
      <c r="P105" s="12" t="e">
        <f t="shared" si="36"/>
        <v>#VALUE!</v>
      </c>
    </row>
    <row r="106" spans="1:16" x14ac:dyDescent="0.2">
      <c r="A106" s="26">
        <f t="shared" si="30"/>
        <v>96</v>
      </c>
      <c r="B106" s="38">
        <v>3166</v>
      </c>
      <c r="C106" s="28">
        <f t="shared" ref="C106:C120" si="39">lx(A106)</f>
        <v>3166</v>
      </c>
      <c r="D106" s="33">
        <f t="shared" ref="D106:D137" si="40">(B106&lt;&gt;C106)*1</f>
        <v>0</v>
      </c>
      <c r="E106" s="47">
        <f t="shared" ref="E106:E119" si="41">dx(A106)</f>
        <v>917</v>
      </c>
      <c r="F106" s="36">
        <f t="shared" ref="F106:F119" si="42">qx(A106)</f>
        <v>0.2896399241945673</v>
      </c>
      <c r="H106" s="10">
        <f t="shared" si="37"/>
        <v>87</v>
      </c>
      <c r="I106" s="18">
        <f t="shared" si="31"/>
        <v>0.42076584645261539</v>
      </c>
      <c r="J106" s="18" t="e">
        <f t="shared" si="32"/>
        <v>#VALUE!</v>
      </c>
      <c r="K106" s="18" t="e">
        <f t="shared" si="33"/>
        <v>#VALUE!</v>
      </c>
      <c r="M106" s="10">
        <f t="shared" si="38"/>
        <v>86</v>
      </c>
      <c r="N106" s="12" t="e">
        <f t="shared" si="34"/>
        <v>#VALUE!</v>
      </c>
      <c r="O106" s="12">
        <f t="shared" si="35"/>
        <v>0.42497350491714153</v>
      </c>
      <c r="P106" s="12" t="e">
        <f t="shared" si="36"/>
        <v>#VALUE!</v>
      </c>
    </row>
    <row r="107" spans="1:16" x14ac:dyDescent="0.2">
      <c r="A107" s="26">
        <f t="shared" ref="A107:A120" si="43">A106+1</f>
        <v>97</v>
      </c>
      <c r="B107" s="38">
        <v>2249</v>
      </c>
      <c r="C107" s="28">
        <f t="shared" si="39"/>
        <v>2249</v>
      </c>
      <c r="D107" s="33">
        <f t="shared" si="40"/>
        <v>0</v>
      </c>
      <c r="E107" s="47">
        <f t="shared" si="41"/>
        <v>700</v>
      </c>
      <c r="F107" s="36">
        <f t="shared" si="42"/>
        <v>0.31124944419742107</v>
      </c>
      <c r="H107" s="10">
        <f t="shared" si="37"/>
        <v>88</v>
      </c>
      <c r="I107" s="18">
        <f t="shared" si="31"/>
        <v>0.41659984797288657</v>
      </c>
      <c r="J107" s="18" t="e">
        <f t="shared" si="32"/>
        <v>#VALUE!</v>
      </c>
      <c r="K107" s="18" t="e">
        <f t="shared" si="33"/>
        <v>#VALUE!</v>
      </c>
      <c r="M107" s="10">
        <f t="shared" si="38"/>
        <v>87</v>
      </c>
      <c r="N107" s="12" t="e">
        <f t="shared" si="34"/>
        <v>#VALUE!</v>
      </c>
      <c r="O107" s="12">
        <f t="shared" si="35"/>
        <v>0.42076584645261539</v>
      </c>
      <c r="P107" s="12" t="e">
        <f t="shared" si="36"/>
        <v>#VALUE!</v>
      </c>
    </row>
    <row r="108" spans="1:16" x14ac:dyDescent="0.2">
      <c r="A108" s="26">
        <f t="shared" si="43"/>
        <v>98</v>
      </c>
      <c r="B108" s="38">
        <v>1549</v>
      </c>
      <c r="C108" s="28">
        <f t="shared" si="39"/>
        <v>1549</v>
      </c>
      <c r="D108" s="33">
        <f t="shared" si="40"/>
        <v>0</v>
      </c>
      <c r="E108" s="47">
        <f t="shared" si="41"/>
        <v>517</v>
      </c>
      <c r="F108" s="36">
        <f t="shared" si="42"/>
        <v>0.33376371852808262</v>
      </c>
      <c r="H108" s="10">
        <f t="shared" si="37"/>
        <v>89</v>
      </c>
      <c r="I108" s="18">
        <f t="shared" si="31"/>
        <v>0.41247509700285795</v>
      </c>
      <c r="J108" s="18" t="e">
        <f t="shared" si="32"/>
        <v>#VALUE!</v>
      </c>
      <c r="K108" s="18" t="e">
        <f t="shared" si="33"/>
        <v>#VALUE!</v>
      </c>
      <c r="M108" s="10">
        <f t="shared" si="38"/>
        <v>88</v>
      </c>
      <c r="N108" s="12" t="e">
        <f t="shared" si="34"/>
        <v>#VALUE!</v>
      </c>
      <c r="O108" s="12">
        <f t="shared" si="35"/>
        <v>0.41659984797288657</v>
      </c>
      <c r="P108" s="12" t="e">
        <f t="shared" si="36"/>
        <v>#VALUE!</v>
      </c>
    </row>
    <row r="109" spans="1:16" x14ac:dyDescent="0.2">
      <c r="A109" s="26">
        <f t="shared" si="43"/>
        <v>99</v>
      </c>
      <c r="B109" s="38">
        <v>1032</v>
      </c>
      <c r="C109" s="28">
        <f t="shared" si="39"/>
        <v>1032</v>
      </c>
      <c r="D109" s="33">
        <f t="shared" si="40"/>
        <v>0</v>
      </c>
      <c r="E109" s="47">
        <f t="shared" si="41"/>
        <v>369</v>
      </c>
      <c r="F109" s="36">
        <f t="shared" si="42"/>
        <v>0.35755813953488375</v>
      </c>
      <c r="H109" s="10">
        <f t="shared" si="37"/>
        <v>90</v>
      </c>
      <c r="I109" s="18">
        <f t="shared" si="31"/>
        <v>0.40839118515134454</v>
      </c>
      <c r="J109" s="18" t="e">
        <f t="shared" si="32"/>
        <v>#VALUE!</v>
      </c>
      <c r="K109" s="18" t="e">
        <f t="shared" si="33"/>
        <v>#VALUE!</v>
      </c>
      <c r="M109" s="10">
        <f t="shared" si="38"/>
        <v>89</v>
      </c>
      <c r="N109" s="12" t="e">
        <f t="shared" si="34"/>
        <v>#VALUE!</v>
      </c>
      <c r="O109" s="12">
        <f t="shared" si="35"/>
        <v>0.41247509700285795</v>
      </c>
      <c r="P109" s="12" t="e">
        <f t="shared" si="36"/>
        <v>#VALUE!</v>
      </c>
    </row>
    <row r="110" spans="1:16" x14ac:dyDescent="0.2">
      <c r="A110" s="26">
        <f t="shared" si="43"/>
        <v>100</v>
      </c>
      <c r="B110" s="38">
        <v>663</v>
      </c>
      <c r="C110" s="28">
        <f t="shared" si="39"/>
        <v>663</v>
      </c>
      <c r="D110" s="33">
        <f t="shared" si="40"/>
        <v>0</v>
      </c>
      <c r="E110" s="47">
        <f t="shared" si="41"/>
        <v>253</v>
      </c>
      <c r="F110" s="36">
        <f t="shared" si="42"/>
        <v>0.38159879336349922</v>
      </c>
      <c r="H110" s="10">
        <f t="shared" si="37"/>
        <v>91</v>
      </c>
      <c r="I110" s="18">
        <f t="shared" si="31"/>
        <v>0.40434770807063813</v>
      </c>
      <c r="J110" s="18" t="e">
        <f t="shared" si="32"/>
        <v>#VALUE!</v>
      </c>
      <c r="K110" s="18" t="e">
        <f t="shared" si="33"/>
        <v>#VALUE!</v>
      </c>
      <c r="M110" s="10">
        <f t="shared" si="38"/>
        <v>90</v>
      </c>
      <c r="N110" s="12" t="e">
        <f t="shared" si="34"/>
        <v>#VALUE!</v>
      </c>
      <c r="O110" s="12">
        <f t="shared" si="35"/>
        <v>0.40839118515134454</v>
      </c>
      <c r="P110" s="12" t="e">
        <f t="shared" si="36"/>
        <v>#VALUE!</v>
      </c>
    </row>
    <row r="111" spans="1:16" x14ac:dyDescent="0.2">
      <c r="A111" s="26">
        <f t="shared" si="43"/>
        <v>101</v>
      </c>
      <c r="B111" s="38">
        <v>410</v>
      </c>
      <c r="C111" s="28">
        <f t="shared" si="39"/>
        <v>410</v>
      </c>
      <c r="D111" s="33">
        <f t="shared" si="40"/>
        <v>0</v>
      </c>
      <c r="E111" s="47">
        <f t="shared" si="41"/>
        <v>166</v>
      </c>
      <c r="F111" s="36">
        <f t="shared" si="42"/>
        <v>0.40487804878048783</v>
      </c>
      <c r="H111" s="10">
        <f t="shared" si="37"/>
        <v>92</v>
      </c>
      <c r="I111" s="18">
        <f t="shared" si="31"/>
        <v>0.40034426541647333</v>
      </c>
      <c r="J111" s="18" t="e">
        <f t="shared" si="32"/>
        <v>#VALUE!</v>
      </c>
      <c r="K111" s="18" t="e">
        <f t="shared" si="33"/>
        <v>#VALUE!</v>
      </c>
      <c r="M111" s="10">
        <f t="shared" si="38"/>
        <v>91</v>
      </c>
      <c r="N111" s="12" t="e">
        <f t="shared" si="34"/>
        <v>#VALUE!</v>
      </c>
      <c r="O111" s="12">
        <f t="shared" si="35"/>
        <v>0.40434770807063813</v>
      </c>
      <c r="P111" s="12" t="e">
        <f t="shared" si="36"/>
        <v>#VALUE!</v>
      </c>
    </row>
    <row r="112" spans="1:16" x14ac:dyDescent="0.2">
      <c r="A112" s="26">
        <f t="shared" si="43"/>
        <v>102</v>
      </c>
      <c r="B112" s="38">
        <v>244</v>
      </c>
      <c r="C112" s="28">
        <f t="shared" si="39"/>
        <v>244</v>
      </c>
      <c r="D112" s="33">
        <f t="shared" si="40"/>
        <v>0</v>
      </c>
      <c r="E112" s="47">
        <f t="shared" si="41"/>
        <v>105</v>
      </c>
      <c r="F112" s="36">
        <f t="shared" si="42"/>
        <v>0.43032786885245899</v>
      </c>
    </row>
    <row r="113" spans="1:6" x14ac:dyDescent="0.2">
      <c r="A113" s="26">
        <f t="shared" si="43"/>
        <v>103</v>
      </c>
      <c r="B113" s="38">
        <v>139</v>
      </c>
      <c r="C113" s="28">
        <f t="shared" si="39"/>
        <v>139</v>
      </c>
      <c r="D113" s="33">
        <f t="shared" si="40"/>
        <v>0</v>
      </c>
      <c r="E113" s="47">
        <f t="shared" si="41"/>
        <v>64</v>
      </c>
      <c r="F113" s="36">
        <f t="shared" si="42"/>
        <v>0.46043165467625902</v>
      </c>
    </row>
    <row r="114" spans="1:6" x14ac:dyDescent="0.2">
      <c r="A114" s="26">
        <f t="shared" si="43"/>
        <v>104</v>
      </c>
      <c r="B114" s="38">
        <v>75</v>
      </c>
      <c r="C114" s="28">
        <f t="shared" si="39"/>
        <v>75</v>
      </c>
      <c r="D114" s="33">
        <f t="shared" si="40"/>
        <v>0</v>
      </c>
      <c r="E114" s="47">
        <f t="shared" si="41"/>
        <v>36</v>
      </c>
      <c r="F114" s="36">
        <f t="shared" si="42"/>
        <v>0.48</v>
      </c>
    </row>
    <row r="115" spans="1:6" x14ac:dyDescent="0.2">
      <c r="A115" s="26">
        <f t="shared" si="43"/>
        <v>105</v>
      </c>
      <c r="B115" s="38">
        <v>39</v>
      </c>
      <c r="C115" s="28">
        <f t="shared" si="39"/>
        <v>39</v>
      </c>
      <c r="D115" s="33">
        <f t="shared" si="40"/>
        <v>0</v>
      </c>
      <c r="E115" s="47">
        <f t="shared" si="41"/>
        <v>20</v>
      </c>
      <c r="F115" s="36">
        <f t="shared" si="42"/>
        <v>0.51282051282051277</v>
      </c>
    </row>
    <row r="116" spans="1:6" x14ac:dyDescent="0.2">
      <c r="A116" s="26">
        <f t="shared" si="43"/>
        <v>106</v>
      </c>
      <c r="B116" s="38">
        <v>19</v>
      </c>
      <c r="C116" s="28">
        <f t="shared" si="39"/>
        <v>19</v>
      </c>
      <c r="D116" s="33">
        <f t="shared" si="40"/>
        <v>0</v>
      </c>
      <c r="E116" s="47">
        <f t="shared" si="41"/>
        <v>10</v>
      </c>
      <c r="F116" s="36">
        <f t="shared" si="42"/>
        <v>0.52631578947368418</v>
      </c>
    </row>
    <row r="117" spans="1:6" x14ac:dyDescent="0.2">
      <c r="A117" s="26">
        <f t="shared" si="43"/>
        <v>107</v>
      </c>
      <c r="B117" s="38">
        <v>9</v>
      </c>
      <c r="C117" s="28">
        <f t="shared" si="39"/>
        <v>9</v>
      </c>
      <c r="D117" s="33">
        <f t="shared" si="40"/>
        <v>0</v>
      </c>
      <c r="E117" s="47">
        <f t="shared" si="41"/>
        <v>5</v>
      </c>
      <c r="F117" s="36">
        <f t="shared" si="42"/>
        <v>0.55555555555555558</v>
      </c>
    </row>
    <row r="118" spans="1:6" x14ac:dyDescent="0.2">
      <c r="A118" s="26">
        <f t="shared" si="43"/>
        <v>108</v>
      </c>
      <c r="B118" s="38">
        <v>4</v>
      </c>
      <c r="C118" s="28">
        <f t="shared" si="39"/>
        <v>4</v>
      </c>
      <c r="D118" s="33">
        <f t="shared" si="40"/>
        <v>0</v>
      </c>
      <c r="E118" s="47">
        <f t="shared" si="41"/>
        <v>2</v>
      </c>
      <c r="F118" s="36">
        <f t="shared" si="42"/>
        <v>0.5</v>
      </c>
    </row>
    <row r="119" spans="1:6" x14ac:dyDescent="0.2">
      <c r="A119" s="26">
        <f t="shared" si="43"/>
        <v>109</v>
      </c>
      <c r="B119" s="38">
        <v>2</v>
      </c>
      <c r="C119" s="28">
        <f t="shared" si="39"/>
        <v>2</v>
      </c>
      <c r="D119" s="33">
        <f t="shared" si="40"/>
        <v>0</v>
      </c>
      <c r="E119" s="47">
        <f t="shared" si="41"/>
        <v>1</v>
      </c>
      <c r="F119" s="36">
        <f t="shared" si="42"/>
        <v>0.5</v>
      </c>
    </row>
    <row r="120" spans="1:6" ht="13.5" thickBot="1" x14ac:dyDescent="0.25">
      <c r="A120" s="37">
        <f t="shared" si="43"/>
        <v>110</v>
      </c>
      <c r="B120" s="39">
        <v>1</v>
      </c>
      <c r="C120" s="29">
        <f t="shared" si="39"/>
        <v>1</v>
      </c>
      <c r="D120" s="34">
        <f t="shared" si="40"/>
        <v>0</v>
      </c>
      <c r="E120" s="43">
        <f>C120</f>
        <v>1</v>
      </c>
      <c r="F120" s="42">
        <v>1</v>
      </c>
    </row>
  </sheetData>
  <phoneticPr fontId="2" type="noConversion"/>
  <conditionalFormatting sqref="J13">
    <cfRule type="cellIs" dxfId="8" priority="9" operator="notEqual">
      <formula>"OK"</formula>
    </cfRule>
  </conditionalFormatting>
  <conditionalFormatting sqref="O13">
    <cfRule type="cellIs" dxfId="7" priority="8" operator="notEqual">
      <formula>"OK"</formula>
    </cfRule>
  </conditionalFormatting>
  <conditionalFormatting sqref="J17">
    <cfRule type="cellIs" dxfId="6" priority="7" operator="notEqual">
      <formula>"OK"</formula>
    </cfRule>
  </conditionalFormatting>
  <conditionalFormatting sqref="O17">
    <cfRule type="cellIs" dxfId="5" priority="6" operator="notEqual">
      <formula>"OK"</formula>
    </cfRule>
  </conditionalFormatting>
  <conditionalFormatting sqref="P13">
    <cfRule type="cellIs" dxfId="4" priority="5" operator="notEqual">
      <formula>"OK"</formula>
    </cfRule>
  </conditionalFormatting>
  <conditionalFormatting sqref="K13">
    <cfRule type="cellIs" dxfId="3" priority="4" operator="notEqual">
      <formula>"OK"</formula>
    </cfRule>
  </conditionalFormatting>
  <conditionalFormatting sqref="D10">
    <cfRule type="cellIs" dxfId="2" priority="3" operator="notEqual">
      <formula>0</formula>
    </cfRule>
  </conditionalFormatting>
  <conditionalFormatting sqref="D11:D120">
    <cfRule type="cellIs" dxfId="1" priority="2" operator="notEqual">
      <formula>0</formula>
    </cfRule>
  </conditionalFormatting>
  <conditionalFormatting sqref="D8">
    <cfRule type="cellIs" dxfId="0" priority="1" operator="notEqual">
      <formula>0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8" r:id="rId4" name="Button 12">
              <controlPr defaultSize="0" print="0" autoFill="0" autoPict="0" macro="[0]!loadMortalityTable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19050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5" name="Button 13">
              <controlPr defaultSize="0" print="0" autoFill="0" autoPict="0" macro="[0]!Calculate">
                <anchor moveWithCells="1" sizeWithCells="1">
                  <from>
                    <xdr:col>0</xdr:col>
                    <xdr:colOff>66675</xdr:colOff>
                    <xdr:row>3</xdr:row>
                    <xdr:rowOff>9525</xdr:rowOff>
                  </from>
                  <to>
                    <xdr:col>4</xdr:col>
                    <xdr:colOff>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Premium_TDD</vt:lpstr>
      <vt:lpstr>Premium_TDD!MortalityTable</vt:lpstr>
    </vt:vector>
  </TitlesOfParts>
  <Company>Universo Servizi S.p.A.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Montiferrari</dc:creator>
  <cp:lastModifiedBy>philippe negre</cp:lastModifiedBy>
  <dcterms:created xsi:type="dcterms:W3CDTF">2006-11-07T20:43:23Z</dcterms:created>
  <dcterms:modified xsi:type="dcterms:W3CDTF">2022-01-25T09:10:09Z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8130c477-7ce2-4a6b-b840-d5704795e1e6</vt:lpwstr>
  </property>
</Properties>
</file>