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egre\PycharmProjects\PFE_IA\Check file\"/>
    </mc:Choice>
  </mc:AlternateContent>
  <xr:revisionPtr revIDLastSave="0" documentId="13_ncr:1_{82832B8E-2B8B-4481-B57E-DB601DA0F7C9}" xr6:coauthVersionLast="47" xr6:coauthVersionMax="47" xr10:uidLastSave="{00000000-0000-0000-0000-000000000000}"/>
  <bookViews>
    <workbookView xWindow="12705" yWindow="915" windowWidth="15435" windowHeight="13485" tabRatio="830" xr2:uid="{00000000-000D-0000-FFFF-FFFF00000000}"/>
  </bookViews>
  <sheets>
    <sheet name="Premium_TDD" sheetId="11" r:id="rId1"/>
  </sheets>
  <definedNames>
    <definedName name="at">#REF!</definedName>
    <definedName name="at_1">#REF!</definedName>
    <definedName name="cap_man_ch">#REF!</definedName>
    <definedName name="growth_exp">#REF!</definedName>
    <definedName name="guarantee">#REF!</definedName>
    <definedName name="i_s">#REF!</definedName>
    <definedName name="i_u">#REF!</definedName>
    <definedName name="init_exp">#REF!</definedName>
    <definedName name="lambda">#REF!</definedName>
    <definedName name="m_c">#REF!</definedName>
    <definedName name="m_t">#REF!</definedName>
    <definedName name="MortalityTable" localSheetId="0">Premium_TDD!$B$10:$B$116</definedName>
    <definedName name="premium">#REF!</definedName>
    <definedName name="ren_exp">#REF!</definedName>
    <definedName name="shift">#REF!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22" i="11" l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M35" i="11" s="1"/>
  <c r="M36" i="11" s="1"/>
  <c r="M37" i="11" s="1"/>
  <c r="M38" i="11" s="1"/>
  <c r="M39" i="11" s="1"/>
  <c r="M40" i="11" s="1"/>
  <c r="M41" i="11" s="1"/>
  <c r="M42" i="11" s="1"/>
  <c r="M43" i="11" s="1"/>
  <c r="M44" i="11" s="1"/>
  <c r="M45" i="11" s="1"/>
  <c r="M46" i="11" s="1"/>
  <c r="M47" i="11" s="1"/>
  <c r="M48" i="11" s="1"/>
  <c r="M49" i="11" s="1"/>
  <c r="M50" i="11" s="1"/>
  <c r="M51" i="11" s="1"/>
  <c r="M52" i="11" s="1"/>
  <c r="M53" i="11" s="1"/>
  <c r="M54" i="11" s="1"/>
  <c r="M55" i="11" s="1"/>
  <c r="M56" i="11" s="1"/>
  <c r="M57" i="11" s="1"/>
  <c r="M58" i="11" s="1"/>
  <c r="M59" i="11" s="1"/>
  <c r="M60" i="11" s="1"/>
  <c r="M61" i="11" s="1"/>
  <c r="M62" i="11" s="1"/>
  <c r="M63" i="11" s="1"/>
  <c r="M64" i="11" s="1"/>
  <c r="M65" i="11" s="1"/>
  <c r="M66" i="11" s="1"/>
  <c r="M67" i="11" s="1"/>
  <c r="M68" i="11" s="1"/>
  <c r="M69" i="11" s="1"/>
  <c r="M70" i="11" s="1"/>
  <c r="M71" i="11" s="1"/>
  <c r="M72" i="11" s="1"/>
  <c r="M73" i="11" s="1"/>
  <c r="M74" i="11" s="1"/>
  <c r="M75" i="11" s="1"/>
  <c r="M76" i="11" s="1"/>
  <c r="M77" i="11" s="1"/>
  <c r="M78" i="11" s="1"/>
  <c r="M79" i="11" s="1"/>
  <c r="M80" i="11" s="1"/>
  <c r="M81" i="11" s="1"/>
  <c r="M82" i="11" s="1"/>
  <c r="M21" i="11"/>
  <c r="A12" i="11"/>
  <c r="A13" i="11" s="1"/>
  <c r="A11" i="11"/>
  <c r="O82" i="11"/>
  <c r="P81" i="11"/>
  <c r="N79" i="11"/>
  <c r="O78" i="11"/>
  <c r="P77" i="11"/>
  <c r="N75" i="11"/>
  <c r="O74" i="11"/>
  <c r="N82" i="11"/>
  <c r="O81" i="11"/>
  <c r="P80" i="11"/>
  <c r="N78" i="11"/>
  <c r="O77" i="11"/>
  <c r="P76" i="11"/>
  <c r="N74" i="11"/>
  <c r="O73" i="11"/>
  <c r="P72" i="11"/>
  <c r="N70" i="11"/>
  <c r="O69" i="11"/>
  <c r="P68" i="11"/>
  <c r="N66" i="11"/>
  <c r="O65" i="11"/>
  <c r="P64" i="11"/>
  <c r="N62" i="11"/>
  <c r="O61" i="11"/>
  <c r="P60" i="11"/>
  <c r="N58" i="11"/>
  <c r="O57" i="11"/>
  <c r="N81" i="11"/>
  <c r="O80" i="11"/>
  <c r="P79" i="11"/>
  <c r="N77" i="11"/>
  <c r="O76" i="11"/>
  <c r="P75" i="11"/>
  <c r="N73" i="11"/>
  <c r="O72" i="11"/>
  <c r="P71" i="11"/>
  <c r="N69" i="11"/>
  <c r="O68" i="11"/>
  <c r="P67" i="11"/>
  <c r="N65" i="11"/>
  <c r="O64" i="11"/>
  <c r="P63" i="11"/>
  <c r="N61" i="11"/>
  <c r="O60" i="11"/>
  <c r="P59" i="11"/>
  <c r="N57" i="11"/>
  <c r="O79" i="11"/>
  <c r="N72" i="11"/>
  <c r="O71" i="11"/>
  <c r="P70" i="11"/>
  <c r="N64" i="11"/>
  <c r="O63" i="11"/>
  <c r="P62" i="11"/>
  <c r="P56" i="11"/>
  <c r="N54" i="11"/>
  <c r="O53" i="11"/>
  <c r="P52" i="11"/>
  <c r="N50" i="11"/>
  <c r="O49" i="11"/>
  <c r="P48" i="11"/>
  <c r="N46" i="11"/>
  <c r="O45" i="11"/>
  <c r="P44" i="11"/>
  <c r="N42" i="11"/>
  <c r="O41" i="11"/>
  <c r="P40" i="11"/>
  <c r="N38" i="11"/>
  <c r="O37" i="11"/>
  <c r="P36" i="11"/>
  <c r="N34" i="11"/>
  <c r="O33" i="11"/>
  <c r="P32" i="11"/>
  <c r="N30" i="11"/>
  <c r="O29" i="11"/>
  <c r="P28" i="11"/>
  <c r="N26" i="11"/>
  <c r="O25" i="11"/>
  <c r="P82" i="11"/>
  <c r="O75" i="11"/>
  <c r="N71" i="11"/>
  <c r="O70" i="11"/>
  <c r="P69" i="11"/>
  <c r="N63" i="11"/>
  <c r="O62" i="11"/>
  <c r="P61" i="11"/>
  <c r="O56" i="11"/>
  <c r="P55" i="11"/>
  <c r="N53" i="11"/>
  <c r="O52" i="11"/>
  <c r="P51" i="11"/>
  <c r="N49" i="11"/>
  <c r="O48" i="11"/>
  <c r="P47" i="11"/>
  <c r="N45" i="11"/>
  <c r="O44" i="11"/>
  <c r="P43" i="11"/>
  <c r="N41" i="11"/>
  <c r="O40" i="11"/>
  <c r="P39" i="11"/>
  <c r="N37" i="11"/>
  <c r="O36" i="11"/>
  <c r="P35" i="11"/>
  <c r="N33" i="11"/>
  <c r="O32" i="11"/>
  <c r="P31" i="11"/>
  <c r="N29" i="11"/>
  <c r="O28" i="11"/>
  <c r="P27" i="11"/>
  <c r="N25" i="11"/>
  <c r="N80" i="11"/>
  <c r="P78" i="11"/>
  <c r="N68" i="11"/>
  <c r="O67" i="11"/>
  <c r="P66" i="11"/>
  <c r="N60" i="11"/>
  <c r="O59" i="11"/>
  <c r="P58" i="11"/>
  <c r="N56" i="11"/>
  <c r="O55" i="11"/>
  <c r="P54" i="11"/>
  <c r="N52" i="11"/>
  <c r="O51" i="11"/>
  <c r="P50" i="11"/>
  <c r="N48" i="11"/>
  <c r="O47" i="11"/>
  <c r="P46" i="11"/>
  <c r="N44" i="11"/>
  <c r="O43" i="11"/>
  <c r="P42" i="11"/>
  <c r="N40" i="11"/>
  <c r="O39" i="11"/>
  <c r="P38" i="11"/>
  <c r="N36" i="11"/>
  <c r="O35" i="11"/>
  <c r="P34" i="11"/>
  <c r="N32" i="11"/>
  <c r="O31" i="11"/>
  <c r="P30" i="11"/>
  <c r="N28" i="11"/>
  <c r="O27" i="11"/>
  <c r="P26" i="11"/>
  <c r="N24" i="11"/>
  <c r="O23" i="11"/>
  <c r="P22" i="11"/>
  <c r="N20" i="11"/>
  <c r="C13" i="11"/>
  <c r="K12" i="11"/>
  <c r="C11" i="11"/>
  <c r="N76" i="11"/>
  <c r="P74" i="11"/>
  <c r="P73" i="11"/>
  <c r="N67" i="11"/>
  <c r="O66" i="11"/>
  <c r="P65" i="11"/>
  <c r="N59" i="11"/>
  <c r="O58" i="11"/>
  <c r="P57" i="11"/>
  <c r="N55" i="11"/>
  <c r="O54" i="11"/>
  <c r="P53" i="11"/>
  <c r="N51" i="11"/>
  <c r="O50" i="11"/>
  <c r="P49" i="11"/>
  <c r="N47" i="11"/>
  <c r="O46" i="11"/>
  <c r="P45" i="11"/>
  <c r="N43" i="11"/>
  <c r="O42" i="11"/>
  <c r="P41" i="11"/>
  <c r="N35" i="11"/>
  <c r="P33" i="11"/>
  <c r="O26" i="11"/>
  <c r="O24" i="11"/>
  <c r="O21" i="11"/>
  <c r="O20" i="11"/>
  <c r="O16" i="11"/>
  <c r="F12" i="11"/>
  <c r="P12" i="11"/>
  <c r="F11" i="11"/>
  <c r="C12" i="11"/>
  <c r="E10" i="11"/>
  <c r="P37" i="11"/>
  <c r="N23" i="11"/>
  <c r="P21" i="11"/>
  <c r="P20" i="11"/>
  <c r="C10" i="11"/>
  <c r="O38" i="11"/>
  <c r="N31" i="11"/>
  <c r="P29" i="11"/>
  <c r="O22" i="11"/>
  <c r="N21" i="11"/>
  <c r="J16" i="11"/>
  <c r="F13" i="11"/>
  <c r="E12" i="11"/>
  <c r="F10" i="11"/>
  <c r="E13" i="11"/>
  <c r="E11" i="11"/>
  <c r="N39" i="11"/>
  <c r="O30" i="11"/>
  <c r="P24" i="11"/>
  <c r="I20" i="11"/>
  <c r="O34" i="11"/>
  <c r="N27" i="11"/>
  <c r="P25" i="11"/>
  <c r="P23" i="11"/>
  <c r="N22" i="11"/>
  <c r="O15" i="11"/>
  <c r="J12" i="11" l="1"/>
  <c r="D10" i="11"/>
  <c r="D12" i="11"/>
  <c r="O17" i="11"/>
  <c r="D11" i="11"/>
  <c r="D13" i="11"/>
  <c r="A14" i="11"/>
  <c r="E14" i="11"/>
  <c r="C14" i="11"/>
  <c r="F14" i="11"/>
  <c r="D14" i="11" l="1"/>
  <c r="A15" i="11"/>
  <c r="O12" i="11"/>
  <c r="F15" i="11"/>
  <c r="C15" i="11"/>
  <c r="E15" i="11"/>
  <c r="D15" i="11" l="1"/>
  <c r="A16" i="11"/>
  <c r="E16" i="11"/>
  <c r="C16" i="11"/>
  <c r="F16" i="11"/>
  <c r="D16" i="11" l="1"/>
  <c r="A17" i="11"/>
  <c r="E17" i="11"/>
  <c r="F17" i="11"/>
  <c r="C17" i="11"/>
  <c r="D17" i="11" l="1"/>
  <c r="A18" i="11"/>
  <c r="F18" i="11"/>
  <c r="C18" i="11"/>
  <c r="E18" i="11"/>
  <c r="D18" i="11" l="1"/>
  <c r="A19" i="11"/>
  <c r="F19" i="11"/>
  <c r="E19" i="11"/>
  <c r="C19" i="11"/>
  <c r="D19" i="11" l="1"/>
  <c r="A20" i="11"/>
  <c r="C20" i="11"/>
  <c r="E20" i="11"/>
  <c r="F20" i="11"/>
  <c r="D20" i="11" l="1"/>
  <c r="A21" i="11"/>
  <c r="F21" i="11"/>
  <c r="E21" i="11"/>
  <c r="C21" i="11"/>
  <c r="D21" i="11" l="1"/>
  <c r="A22" i="11"/>
  <c r="C22" i="11"/>
  <c r="E22" i="11"/>
  <c r="F22" i="11"/>
  <c r="D22" i="11" l="1"/>
  <c r="A23" i="11"/>
  <c r="C23" i="11"/>
  <c r="F23" i="11"/>
  <c r="E23" i="11"/>
  <c r="D23" i="11" l="1"/>
  <c r="A24" i="11"/>
  <c r="F24" i="11"/>
  <c r="E24" i="11"/>
  <c r="C24" i="11"/>
  <c r="D24" i="11" l="1"/>
  <c r="A25" i="11"/>
  <c r="F25" i="11"/>
  <c r="E25" i="11"/>
  <c r="C25" i="11"/>
  <c r="D25" i="11" l="1"/>
  <c r="A26" i="11"/>
  <c r="E26" i="11"/>
  <c r="F26" i="11"/>
  <c r="C26" i="11"/>
  <c r="D26" i="11" l="1"/>
  <c r="A27" i="11"/>
  <c r="E27" i="11"/>
  <c r="F27" i="11"/>
  <c r="C27" i="11"/>
  <c r="D27" i="11" l="1"/>
  <c r="A28" i="11"/>
  <c r="C28" i="11"/>
  <c r="E28" i="11"/>
  <c r="F28" i="11"/>
  <c r="D28" i="11" l="1"/>
  <c r="A29" i="11"/>
  <c r="F29" i="11"/>
  <c r="C29" i="11"/>
  <c r="E29" i="11"/>
  <c r="D29" i="11" l="1"/>
  <c r="A30" i="11"/>
  <c r="E30" i="11"/>
  <c r="F30" i="11"/>
  <c r="C30" i="11"/>
  <c r="D30" i="11" l="1"/>
  <c r="A31" i="11"/>
  <c r="E31" i="11"/>
  <c r="F31" i="11"/>
  <c r="C31" i="11"/>
  <c r="D31" i="11" l="1"/>
  <c r="A32" i="11"/>
  <c r="C32" i="11"/>
  <c r="E32" i="11"/>
  <c r="F32" i="11"/>
  <c r="D32" i="11" l="1"/>
  <c r="A33" i="11"/>
  <c r="F33" i="11"/>
  <c r="C33" i="11"/>
  <c r="E33" i="11"/>
  <c r="D33" i="11" l="1"/>
  <c r="A34" i="11"/>
  <c r="E34" i="11"/>
  <c r="F34" i="11"/>
  <c r="C34" i="11"/>
  <c r="D34" i="11" l="1"/>
  <c r="A35" i="11"/>
  <c r="E35" i="11"/>
  <c r="F35" i="11"/>
  <c r="C35" i="11"/>
  <c r="D35" i="11" l="1"/>
  <c r="A36" i="11"/>
  <c r="C36" i="11"/>
  <c r="E36" i="11"/>
  <c r="F36" i="11"/>
  <c r="D36" i="11" l="1"/>
  <c r="A37" i="11"/>
  <c r="F37" i="11"/>
  <c r="C37" i="11"/>
  <c r="E37" i="11"/>
  <c r="D37" i="11" l="1"/>
  <c r="A38" i="11"/>
  <c r="E38" i="11"/>
  <c r="F38" i="11"/>
  <c r="C38" i="11"/>
  <c r="D38" i="11" l="1"/>
  <c r="A39" i="11"/>
  <c r="E39" i="11"/>
  <c r="F39" i="11"/>
  <c r="C39" i="11"/>
  <c r="D39" i="11" l="1"/>
  <c r="A40" i="11"/>
  <c r="C40" i="11"/>
  <c r="E40" i="11"/>
  <c r="F40" i="11"/>
  <c r="D40" i="11" l="1"/>
  <c r="A41" i="11"/>
  <c r="F41" i="11"/>
  <c r="C41" i="11"/>
  <c r="E41" i="11"/>
  <c r="D41" i="11" l="1"/>
  <c r="A42" i="11"/>
  <c r="E42" i="11"/>
  <c r="F42" i="11"/>
  <c r="C42" i="11"/>
  <c r="D42" i="11" l="1"/>
  <c r="A43" i="11"/>
  <c r="E43" i="11"/>
  <c r="F43" i="11"/>
  <c r="C43" i="11"/>
  <c r="D43" i="11" l="1"/>
  <c r="A44" i="11"/>
  <c r="C44" i="11"/>
  <c r="E44" i="11"/>
  <c r="F44" i="11"/>
  <c r="D44" i="11" l="1"/>
  <c r="A45" i="11"/>
  <c r="F45" i="11"/>
  <c r="C45" i="11"/>
  <c r="E45" i="11"/>
  <c r="D45" i="11" l="1"/>
  <c r="A46" i="11"/>
  <c r="E46" i="11"/>
  <c r="F46" i="11"/>
  <c r="C46" i="11"/>
  <c r="D46" i="11" l="1"/>
  <c r="A47" i="11"/>
  <c r="E47" i="11"/>
  <c r="F47" i="11"/>
  <c r="C47" i="11"/>
  <c r="D47" i="11" l="1"/>
  <c r="A48" i="11"/>
  <c r="C48" i="11"/>
  <c r="E48" i="11"/>
  <c r="F48" i="11"/>
  <c r="D48" i="11" l="1"/>
  <c r="A49" i="11"/>
  <c r="F49" i="11"/>
  <c r="C49" i="11"/>
  <c r="E49" i="11"/>
  <c r="D49" i="11" l="1"/>
  <c r="A50" i="11"/>
  <c r="E50" i="11"/>
  <c r="F50" i="11"/>
  <c r="C50" i="11"/>
  <c r="D50" i="11" l="1"/>
  <c r="A51" i="11"/>
  <c r="E51" i="11"/>
  <c r="F51" i="11"/>
  <c r="C51" i="11"/>
  <c r="D51" i="11" l="1"/>
  <c r="A52" i="11"/>
  <c r="C52" i="11"/>
  <c r="E52" i="11"/>
  <c r="F52" i="11"/>
  <c r="D52" i="11" l="1"/>
  <c r="A53" i="11"/>
  <c r="F53" i="11"/>
  <c r="C53" i="11"/>
  <c r="E53" i="11"/>
  <c r="D53" i="11" l="1"/>
  <c r="A54" i="11"/>
  <c r="E54" i="11"/>
  <c r="F54" i="11"/>
  <c r="C54" i="11"/>
  <c r="D54" i="11" l="1"/>
  <c r="A55" i="11"/>
  <c r="E55" i="11"/>
  <c r="F55" i="11"/>
  <c r="C55" i="11"/>
  <c r="D55" i="11" l="1"/>
  <c r="A56" i="11"/>
  <c r="C56" i="11"/>
  <c r="E56" i="11"/>
  <c r="F56" i="11"/>
  <c r="D56" i="11" l="1"/>
  <c r="A57" i="11"/>
  <c r="C57" i="11"/>
  <c r="F57" i="11"/>
  <c r="E57" i="11"/>
  <c r="D57" i="11" l="1"/>
  <c r="A58" i="11"/>
  <c r="E58" i="11"/>
  <c r="F58" i="11"/>
  <c r="C58" i="11"/>
  <c r="D58" i="11" l="1"/>
  <c r="A59" i="11"/>
  <c r="E59" i="11"/>
  <c r="F59" i="11"/>
  <c r="C59" i="11"/>
  <c r="D59" i="11" l="1"/>
  <c r="A60" i="11"/>
  <c r="C60" i="11"/>
  <c r="E60" i="11"/>
  <c r="F60" i="11"/>
  <c r="D60" i="11" l="1"/>
  <c r="A61" i="11"/>
  <c r="F61" i="11"/>
  <c r="C61" i="11"/>
  <c r="E61" i="11"/>
  <c r="D61" i="11" l="1"/>
  <c r="A62" i="11"/>
  <c r="E62" i="11"/>
  <c r="F62" i="11"/>
  <c r="C62" i="11"/>
  <c r="D62" i="11" l="1"/>
  <c r="A63" i="11"/>
  <c r="E63" i="11"/>
  <c r="F63" i="11"/>
  <c r="C63" i="11"/>
  <c r="D63" i="11" l="1"/>
  <c r="A64" i="11"/>
  <c r="C64" i="11"/>
  <c r="E64" i="11"/>
  <c r="F64" i="11"/>
  <c r="D64" i="11" l="1"/>
  <c r="A65" i="11"/>
  <c r="C65" i="11"/>
  <c r="F65" i="11"/>
  <c r="E65" i="11"/>
  <c r="D65" i="11" l="1"/>
  <c r="A66" i="11"/>
  <c r="E66" i="11"/>
  <c r="F66" i="11"/>
  <c r="C66" i="11"/>
  <c r="D66" i="11" l="1"/>
  <c r="A67" i="11"/>
  <c r="E67" i="11"/>
  <c r="F67" i="11"/>
  <c r="C67" i="11"/>
  <c r="D67" i="11" l="1"/>
  <c r="A68" i="11"/>
  <c r="C68" i="11"/>
  <c r="E68" i="11"/>
  <c r="F68" i="11"/>
  <c r="D68" i="11" l="1"/>
  <c r="A69" i="11"/>
  <c r="F69" i="11"/>
  <c r="C69" i="11"/>
  <c r="E69" i="11"/>
  <c r="D69" i="11" l="1"/>
  <c r="A70" i="11"/>
  <c r="E70" i="11"/>
  <c r="F70" i="11"/>
  <c r="C70" i="11"/>
  <c r="D70" i="11" l="1"/>
  <c r="A71" i="11"/>
  <c r="E71" i="11"/>
  <c r="F71" i="11"/>
  <c r="C71" i="11"/>
  <c r="D71" i="11" l="1"/>
  <c r="A72" i="11"/>
  <c r="C72" i="11"/>
  <c r="E72" i="11"/>
  <c r="F72" i="11"/>
  <c r="D72" i="11" l="1"/>
  <c r="A73" i="11"/>
  <c r="C73" i="11"/>
  <c r="F73" i="11"/>
  <c r="E73" i="11"/>
  <c r="D73" i="11" l="1"/>
  <c r="A74" i="11"/>
  <c r="E74" i="11"/>
  <c r="F74" i="11"/>
  <c r="C74" i="11"/>
  <c r="D74" i="11" l="1"/>
  <c r="A75" i="11"/>
  <c r="E75" i="11"/>
  <c r="F75" i="11"/>
  <c r="C75" i="11"/>
  <c r="D75" i="11" l="1"/>
  <c r="A76" i="11"/>
  <c r="E76" i="11"/>
  <c r="F76" i="11"/>
  <c r="C76" i="11"/>
  <c r="D76" i="11" l="1"/>
  <c r="A77" i="11"/>
  <c r="C77" i="11"/>
  <c r="E77" i="11"/>
  <c r="F77" i="11"/>
  <c r="D77" i="11" l="1"/>
  <c r="A78" i="11"/>
  <c r="F78" i="11"/>
  <c r="C78" i="11"/>
  <c r="E78" i="11"/>
  <c r="D78" i="11" l="1"/>
  <c r="A79" i="11"/>
  <c r="E79" i="11"/>
  <c r="F79" i="11"/>
  <c r="C79" i="11"/>
  <c r="D79" i="11" l="1"/>
  <c r="A80" i="11"/>
  <c r="E80" i="11"/>
  <c r="F80" i="11"/>
  <c r="C80" i="11"/>
  <c r="D80" i="11" l="1"/>
  <c r="A81" i="11"/>
  <c r="C81" i="11"/>
  <c r="E81" i="11"/>
  <c r="F81" i="11"/>
  <c r="D81" i="11" l="1"/>
  <c r="A82" i="11"/>
  <c r="F82" i="11"/>
  <c r="C82" i="11"/>
  <c r="E82" i="11"/>
  <c r="D82" i="11" l="1"/>
  <c r="A83" i="11"/>
  <c r="E83" i="11"/>
  <c r="F83" i="11"/>
  <c r="C83" i="11"/>
  <c r="D83" i="11" l="1"/>
  <c r="A84" i="11"/>
  <c r="E84" i="11"/>
  <c r="F84" i="11"/>
  <c r="C84" i="11"/>
  <c r="D84" i="11" l="1"/>
  <c r="A85" i="11"/>
  <c r="C85" i="11"/>
  <c r="E85" i="11"/>
  <c r="F85" i="11"/>
  <c r="D85" i="11" l="1"/>
  <c r="A86" i="11"/>
  <c r="F86" i="11"/>
  <c r="C86" i="11"/>
  <c r="E86" i="11"/>
  <c r="D86" i="11" l="1"/>
  <c r="A87" i="11"/>
  <c r="E87" i="11"/>
  <c r="F87" i="11"/>
  <c r="C87" i="11"/>
  <c r="D87" i="11" l="1"/>
  <c r="A88" i="11"/>
  <c r="E88" i="11"/>
  <c r="F88" i="11"/>
  <c r="C88" i="11"/>
  <c r="D88" i="11" l="1"/>
  <c r="A89" i="11"/>
  <c r="C89" i="11"/>
  <c r="E89" i="11"/>
  <c r="F89" i="11"/>
  <c r="D89" i="11" l="1"/>
  <c r="A90" i="11"/>
  <c r="F90" i="11"/>
  <c r="C90" i="11"/>
  <c r="E90" i="11"/>
  <c r="D90" i="11" l="1"/>
  <c r="A91" i="11"/>
  <c r="E91" i="11"/>
  <c r="F91" i="11"/>
  <c r="C91" i="11"/>
  <c r="D91" i="11" l="1"/>
  <c r="A92" i="11"/>
  <c r="E92" i="11"/>
  <c r="F92" i="11"/>
  <c r="C92" i="11"/>
  <c r="D92" i="11" l="1"/>
  <c r="A93" i="11"/>
  <c r="C93" i="11"/>
  <c r="E93" i="11"/>
  <c r="F93" i="11"/>
  <c r="D93" i="11" l="1"/>
  <c r="A94" i="11"/>
  <c r="F94" i="11"/>
  <c r="C94" i="11"/>
  <c r="E94" i="11"/>
  <c r="D94" i="11" l="1"/>
  <c r="A95" i="11"/>
  <c r="E95" i="11"/>
  <c r="F95" i="11"/>
  <c r="C95" i="11"/>
  <c r="D95" i="11" l="1"/>
  <c r="A96" i="11"/>
  <c r="E96" i="11"/>
  <c r="F96" i="11"/>
  <c r="C96" i="11"/>
  <c r="D96" i="11" l="1"/>
  <c r="A97" i="11"/>
  <c r="C97" i="11"/>
  <c r="E97" i="11"/>
  <c r="F97" i="11"/>
  <c r="D97" i="11" l="1"/>
  <c r="A98" i="11"/>
  <c r="F98" i="11"/>
  <c r="C98" i="11"/>
  <c r="E98" i="11"/>
  <c r="D98" i="11" l="1"/>
  <c r="A99" i="11"/>
  <c r="E99" i="11"/>
  <c r="F99" i="11"/>
  <c r="C99" i="11"/>
  <c r="D99" i="11" l="1"/>
  <c r="A100" i="11"/>
  <c r="E100" i="11"/>
  <c r="F100" i="11"/>
  <c r="C100" i="11"/>
  <c r="D100" i="11" l="1"/>
  <c r="A101" i="11"/>
  <c r="C101" i="11"/>
  <c r="E101" i="11"/>
  <c r="F101" i="11"/>
  <c r="D101" i="11" l="1"/>
  <c r="A102" i="11"/>
  <c r="F102" i="11"/>
  <c r="C102" i="11"/>
  <c r="E102" i="11"/>
  <c r="D102" i="11" l="1"/>
  <c r="A103" i="11"/>
  <c r="E103" i="11"/>
  <c r="F103" i="11"/>
  <c r="C103" i="11"/>
  <c r="D103" i="11" l="1"/>
  <c r="A104" i="11"/>
  <c r="E104" i="11"/>
  <c r="F104" i="11"/>
  <c r="C104" i="11"/>
  <c r="D104" i="11" l="1"/>
  <c r="A105" i="11"/>
  <c r="C105" i="11"/>
  <c r="E105" i="11"/>
  <c r="F105" i="11"/>
  <c r="D105" i="11" l="1"/>
  <c r="A106" i="11"/>
  <c r="F106" i="11"/>
  <c r="C106" i="11"/>
  <c r="E106" i="11"/>
  <c r="D106" i="11" l="1"/>
  <c r="A107" i="11"/>
  <c r="E107" i="11"/>
  <c r="F107" i="11"/>
  <c r="C107" i="11"/>
  <c r="D107" i="11" l="1"/>
  <c r="A108" i="11"/>
  <c r="E108" i="11"/>
  <c r="F108" i="11"/>
  <c r="C108" i="11"/>
  <c r="D108" i="11" l="1"/>
  <c r="A109" i="11"/>
  <c r="C109" i="11"/>
  <c r="E109" i="11"/>
  <c r="F109" i="11"/>
  <c r="D109" i="11" l="1"/>
  <c r="A110" i="11"/>
  <c r="F110" i="11"/>
  <c r="C110" i="11"/>
  <c r="E110" i="11"/>
  <c r="D110" i="11" l="1"/>
  <c r="A111" i="11"/>
  <c r="E111" i="11"/>
  <c r="F111" i="11"/>
  <c r="C111" i="11"/>
  <c r="D111" i="11" l="1"/>
  <c r="A112" i="11"/>
  <c r="E112" i="11"/>
  <c r="F112" i="11"/>
  <c r="C112" i="11"/>
  <c r="D112" i="11" l="1"/>
  <c r="A113" i="11"/>
  <c r="C113" i="11"/>
  <c r="E113" i="11"/>
  <c r="F113" i="11"/>
  <c r="D113" i="11" l="1"/>
  <c r="A114" i="11"/>
  <c r="F114" i="11"/>
  <c r="C114" i="11"/>
  <c r="E114" i="11"/>
  <c r="D114" i="11" l="1"/>
  <c r="A115" i="11"/>
  <c r="E115" i="11"/>
  <c r="F115" i="11"/>
  <c r="C115" i="11"/>
  <c r="D115" i="11" l="1"/>
  <c r="A116" i="11"/>
  <c r="E116" i="11"/>
  <c r="F116" i="11"/>
  <c r="C116" i="11"/>
  <c r="D116" i="11" l="1"/>
  <c r="A117" i="11"/>
  <c r="C117" i="11"/>
  <c r="E117" i="11"/>
  <c r="F117" i="11"/>
  <c r="D117" i="11" l="1"/>
  <c r="A118" i="11"/>
  <c r="F118" i="11"/>
  <c r="C118" i="11"/>
  <c r="E118" i="11"/>
  <c r="D118" i="11" l="1"/>
  <c r="A119" i="11"/>
  <c r="E119" i="11"/>
  <c r="F119" i="11"/>
  <c r="C119" i="11"/>
  <c r="D119" i="11" l="1"/>
  <c r="A120" i="11"/>
  <c r="E120" i="11"/>
  <c r="F120" i="11"/>
  <c r="C120" i="11"/>
  <c r="D120" i="11" l="1"/>
  <c r="A121" i="11"/>
  <c r="C121" i="11"/>
  <c r="E121" i="11"/>
  <c r="F121" i="11"/>
  <c r="D121" i="11" l="1"/>
  <c r="A122" i="11"/>
  <c r="C122" i="11"/>
  <c r="E122" i="11" l="1"/>
  <c r="D122" i="11"/>
  <c r="D8" i="11" s="1"/>
  <c r="J20" i="11"/>
  <c r="K20" i="11" s="1"/>
  <c r="J15" i="11" s="1"/>
  <c r="J11" i="11" l="1"/>
  <c r="J17" i="11"/>
  <c r="O11" i="11" l="1"/>
  <c r="K13" i="11"/>
  <c r="J13" i="11"/>
  <c r="P13" i="11" l="1"/>
  <c r="O13" i="11"/>
</calcChain>
</file>

<file path=xl/sharedStrings.xml><?xml version="1.0" encoding="utf-8"?>
<sst xmlns="http://schemas.openxmlformats.org/spreadsheetml/2006/main" count="26" uniqueCount="26">
  <si>
    <t>lx</t>
  </si>
  <si>
    <t>dx</t>
  </si>
  <si>
    <t>qx</t>
  </si>
  <si>
    <t>age x</t>
  </si>
  <si>
    <t>Age</t>
  </si>
  <si>
    <t>Technical Rate</t>
  </si>
  <si>
    <t>Amount</t>
  </si>
  <si>
    <t>term</t>
  </si>
  <si>
    <t>Single Premium</t>
  </si>
  <si>
    <t>nEx</t>
  </si>
  <si>
    <t>U</t>
  </si>
  <si>
    <t>P</t>
  </si>
  <si>
    <t>Annual Premium</t>
  </si>
  <si>
    <t>Term (n)</t>
  </si>
  <si>
    <t>Payment (m)</t>
  </si>
  <si>
    <t>Check lx</t>
  </si>
  <si>
    <t>MortalityTable</t>
  </si>
  <si>
    <t>tpx</t>
  </si>
  <si>
    <t>v^t</t>
  </si>
  <si>
    <t>tEx</t>
  </si>
  <si>
    <t>a.. x:m</t>
  </si>
  <si>
    <t>lx saved</t>
  </si>
  <si>
    <t>v^n</t>
  </si>
  <si>
    <t>n p x</t>
  </si>
  <si>
    <t>n Ex</t>
  </si>
  <si>
    <r>
      <t xml:space="preserve">Mortality Table, France, </t>
    </r>
    <r>
      <rPr>
        <b/>
        <sz val="11"/>
        <color rgb="FF0000FF"/>
        <rFont val="Calibri"/>
        <family val="2"/>
        <scheme val="minor"/>
      </rPr>
      <t>TF00-02 décalée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</si>
</sst>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0000"/>
    <numFmt numFmtId="165" formatCode="0.000000000"/>
  </numFmts>
  <fonts count="10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rgb="FF3333FF"/>
      <name val="Arial"/>
      <family val="2"/>
    </font>
    <font>
      <b/>
      <sz val="10"/>
      <color rgb="FFFF0000"/>
      <name val="Arial"/>
      <family val="2"/>
    </font>
    <font>
      <b/>
      <sz val="10"/>
      <color rgb="FF000000"/>
      <name val="Arial"/>
      <family val="2"/>
    </font>
    <font>
      <sz val="10"/>
      <color rgb="FFFF000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00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9FF99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5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9" fontId="3" fillId="0" borderId="4" xfId="1" applyFont="1" applyBorder="1"/>
    <xf numFmtId="0" fontId="3" fillId="0" borderId="6" xfId="0" applyFont="1" applyBorder="1"/>
    <xf numFmtId="0" fontId="0" fillId="0" borderId="0" xfId="0" applyFill="1"/>
    <xf numFmtId="0" fontId="0" fillId="3" borderId="0" xfId="0" applyFill="1"/>
    <xf numFmtId="0" fontId="4" fillId="3" borderId="0" xfId="0" applyFont="1" applyFill="1"/>
    <xf numFmtId="165" fontId="4" fillId="2" borderId="0" xfId="0" applyNumberFormat="1" applyFont="1" applyFill="1"/>
    <xf numFmtId="0" fontId="3" fillId="0" borderId="8" xfId="0" applyFont="1" applyBorder="1" applyAlignment="1">
      <alignment horizontal="center"/>
    </xf>
    <xf numFmtId="0" fontId="3" fillId="0" borderId="9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0" borderId="10" xfId="0" applyFont="1" applyBorder="1" applyAlignment="1">
      <alignment horizontal="center"/>
    </xf>
    <xf numFmtId="0" fontId="7" fillId="3" borderId="0" xfId="0" applyFont="1" applyFill="1" applyAlignment="1">
      <alignment horizontal="center"/>
    </xf>
    <xf numFmtId="165" fontId="4" fillId="4" borderId="0" xfId="0" applyNumberFormat="1" applyFont="1" applyFill="1"/>
    <xf numFmtId="0" fontId="1" fillId="0" borderId="0" xfId="0" applyFont="1"/>
    <xf numFmtId="0" fontId="3" fillId="0" borderId="0" xfId="0" applyNumberFormat="1" applyFont="1" applyFill="1"/>
    <xf numFmtId="0" fontId="5" fillId="2" borderId="0" xfId="0" applyFont="1" applyFill="1"/>
    <xf numFmtId="0" fontId="5" fillId="4" borderId="0" xfId="0" applyNumberFormat="1" applyFont="1" applyFill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5" fillId="3" borderId="0" xfId="0" applyFont="1" applyFill="1" applyAlignment="1">
      <alignment horizontal="center"/>
    </xf>
    <xf numFmtId="0" fontId="8" fillId="0" borderId="0" xfId="0" applyFont="1"/>
    <xf numFmtId="0" fontId="4" fillId="3" borderId="2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164" fontId="0" fillId="2" borderId="2" xfId="0" applyNumberFormat="1" applyFill="1" applyBorder="1"/>
    <xf numFmtId="164" fontId="0" fillId="2" borderId="4" xfId="0" applyNumberFormat="1" applyFill="1" applyBorder="1"/>
    <xf numFmtId="0" fontId="1" fillId="3" borderId="1" xfId="0" applyFont="1" applyFill="1" applyBorder="1" applyAlignment="1">
      <alignment horizontal="center"/>
    </xf>
    <xf numFmtId="0" fontId="4" fillId="4" borderId="0" xfId="0" applyNumberFormat="1" applyFont="1" applyFill="1"/>
    <xf numFmtId="0" fontId="4" fillId="3" borderId="0" xfId="0" applyFont="1" applyFill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0" fillId="2" borderId="6" xfId="0" applyFill="1" applyBorder="1"/>
    <xf numFmtId="1" fontId="4" fillId="2" borderId="0" xfId="0" applyNumberFormat="1" applyFont="1" applyFill="1" applyBorder="1"/>
    <xf numFmtId="1" fontId="4" fillId="2" borderId="7" xfId="0" applyNumberFormat="1" applyFont="1" applyFill="1" applyBorder="1"/>
    <xf numFmtId="0" fontId="3" fillId="0" borderId="0" xfId="0" applyFont="1" applyFill="1" applyAlignment="1">
      <alignment horizontal="center"/>
    </xf>
    <xf numFmtId="0" fontId="4" fillId="0" borderId="0" xfId="0" applyFont="1" applyFill="1"/>
    <xf numFmtId="165" fontId="4" fillId="0" borderId="0" xfId="0" applyNumberFormat="1" applyFont="1" applyFill="1"/>
    <xf numFmtId="1" fontId="1" fillId="3" borderId="2" xfId="0" applyNumberFormat="1" applyFont="1" applyFill="1" applyBorder="1"/>
    <xf numFmtId="1" fontId="1" fillId="3" borderId="4" xfId="0" applyNumberFormat="1" applyFont="1" applyFill="1" applyBorder="1"/>
    <xf numFmtId="1" fontId="0" fillId="3" borderId="4" xfId="0" applyNumberFormat="1" applyFill="1" applyBorder="1"/>
    <xf numFmtId="1" fontId="0" fillId="3" borderId="6" xfId="0" applyNumberFormat="1" applyFill="1" applyBorder="1"/>
    <xf numFmtId="1" fontId="4" fillId="2" borderId="1" xfId="0" applyNumberFormat="1" applyFont="1" applyFill="1" applyBorder="1"/>
    <xf numFmtId="1" fontId="4" fillId="2" borderId="3" xfId="0" applyNumberFormat="1" applyFont="1" applyFill="1" applyBorder="1"/>
    <xf numFmtId="2" fontId="0" fillId="2" borderId="1" xfId="0" applyNumberFormat="1" applyFill="1" applyBorder="1" applyAlignment="1">
      <alignment horizontal="right" vertical="center"/>
    </xf>
    <xf numFmtId="2" fontId="0" fillId="2" borderId="3" xfId="0" applyNumberFormat="1" applyFill="1" applyBorder="1" applyAlignment="1">
      <alignment horizontal="right" vertical="center"/>
    </xf>
    <xf numFmtId="2" fontId="0" fillId="2" borderId="0" xfId="0" applyNumberFormat="1" applyFill="1" applyBorder="1" applyAlignment="1">
      <alignment horizontal="right" vertical="center"/>
    </xf>
    <xf numFmtId="2" fontId="0" fillId="2" borderId="5" xfId="0" applyNumberFormat="1" applyFill="1" applyBorder="1" applyAlignment="1">
      <alignment horizontal="right" vertical="center"/>
    </xf>
  </cellXfs>
  <cellStyles count="3">
    <cellStyle name="Normal" xfId="0" builtinId="0"/>
    <cellStyle name="Normal 2" xfId="2" xr:uid="{00000000-0005-0000-0000-000002000000}"/>
    <cellStyle name="Pourcentage" xfId="1" builtinId="5"/>
  </cellStyles>
  <dxfs count="1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colors>
    <mruColors>
      <color rgb="FFCCFFCC"/>
      <color rgb="FFFFFFCC"/>
      <color rgb="FF3333FF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19050</xdr:colOff>
          <xdr:row>2</xdr:row>
          <xdr:rowOff>9525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Mortality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3</xdr:row>
          <xdr:rowOff>9525</xdr:rowOff>
        </xdr:from>
        <xdr:to>
          <xdr:col>4</xdr:col>
          <xdr:colOff>0</xdr:colOff>
          <xdr:row>4</xdr:row>
          <xdr:rowOff>123825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122"/>
  <sheetViews>
    <sheetView showGridLines="0" tabSelected="1" workbookViewId="0">
      <pane ySplit="9" topLeftCell="A10" activePane="bottomLeft" state="frozen"/>
      <selection pane="bottomLeft" activeCell="J12" sqref="J12"/>
    </sheetView>
  </sheetViews>
  <sheetFormatPr baseColWidth="10" defaultColWidth="9.140625" defaultRowHeight="12.75" x14ac:dyDescent="0.2"/>
  <cols>
    <col min="1" max="1" width="6.140625" bestFit="1" customWidth="1"/>
    <col min="2" max="2" width="12.5703125" bestFit="1" customWidth="1"/>
    <col min="3" max="3" width="9.5703125" bestFit="1" customWidth="1"/>
    <col min="4" max="4" width="8.85546875" bestFit="1" customWidth="1"/>
    <col min="5" max="5" width="13.5703125" bestFit="1" customWidth="1"/>
    <col min="6" max="6" width="11.5703125" bestFit="1" customWidth="1"/>
    <col min="8" max="8" width="14.7109375" bestFit="1" customWidth="1"/>
    <col min="9" max="9" width="15.140625" bestFit="1" customWidth="1"/>
    <col min="10" max="10" width="15.7109375" bestFit="1" customWidth="1"/>
    <col min="11" max="11" width="11.5703125" bestFit="1" customWidth="1"/>
    <col min="14" max="16" width="11.5703125" bestFit="1" customWidth="1"/>
  </cols>
  <sheetData>
    <row r="1" spans="1:16" x14ac:dyDescent="0.2">
      <c r="H1" s="3" t="s">
        <v>4</v>
      </c>
      <c r="I1" s="4">
        <v>50</v>
      </c>
    </row>
    <row r="2" spans="1:16" x14ac:dyDescent="0.2">
      <c r="H2" s="5" t="s">
        <v>14</v>
      </c>
      <c r="I2" s="6">
        <v>5</v>
      </c>
    </row>
    <row r="3" spans="1:16" ht="15" x14ac:dyDescent="0.25">
      <c r="A3" s="29" t="s">
        <v>25</v>
      </c>
      <c r="H3" s="5" t="s">
        <v>13</v>
      </c>
      <c r="I3" s="6">
        <v>5</v>
      </c>
    </row>
    <row r="4" spans="1:16" x14ac:dyDescent="0.2">
      <c r="H4" s="5" t="s">
        <v>5</v>
      </c>
      <c r="I4" s="8">
        <v>0.01</v>
      </c>
    </row>
    <row r="5" spans="1:16" ht="13.5" thickBot="1" x14ac:dyDescent="0.25">
      <c r="H5" s="7" t="s">
        <v>6</v>
      </c>
      <c r="I5" s="9">
        <v>100</v>
      </c>
    </row>
    <row r="6" spans="1:16" x14ac:dyDescent="0.2">
      <c r="L6" s="21"/>
    </row>
    <row r="8" spans="1:16" ht="13.5" thickBot="1" x14ac:dyDescent="0.25">
      <c r="B8" s="20" t="s">
        <v>16</v>
      </c>
      <c r="C8" s="20"/>
      <c r="D8" s="28">
        <f>SUM(D10:D122)</f>
        <v>0</v>
      </c>
    </row>
    <row r="9" spans="1:16" ht="13.5" thickBot="1" x14ac:dyDescent="0.25">
      <c r="A9" s="14" t="s">
        <v>3</v>
      </c>
      <c r="B9" s="17" t="s">
        <v>0</v>
      </c>
      <c r="C9" s="25" t="s">
        <v>21</v>
      </c>
      <c r="D9" s="26" t="s">
        <v>15</v>
      </c>
      <c r="E9" s="15" t="s">
        <v>1</v>
      </c>
      <c r="F9" s="17" t="s">
        <v>2</v>
      </c>
    </row>
    <row r="10" spans="1:16" x14ac:dyDescent="0.2">
      <c r="A10" s="35">
        <v>0</v>
      </c>
      <c r="B10" s="45">
        <v>100000</v>
      </c>
      <c r="C10" s="49">
        <f t="shared" ref="C10:C41" si="0">lx(A10)</f>
        <v>100000</v>
      </c>
      <c r="D10" s="30">
        <f t="shared" ref="D10:D41" si="1">(B10&lt;&gt;C10)*1</f>
        <v>0</v>
      </c>
      <c r="E10" s="51">
        <f t="shared" ref="E10:E41" si="2">dx(A10)</f>
        <v>0</v>
      </c>
      <c r="F10" s="33">
        <f t="shared" ref="F10:F41" si="3">qx(A10)</f>
        <v>0</v>
      </c>
      <c r="J10" s="16" t="s">
        <v>10</v>
      </c>
      <c r="O10" s="16" t="s">
        <v>11</v>
      </c>
    </row>
    <row r="11" spans="1:16" x14ac:dyDescent="0.2">
      <c r="A11" s="27">
        <f t="shared" ref="A11:A42" si="4">A10+1</f>
        <v>1</v>
      </c>
      <c r="B11" s="46">
        <v>100000</v>
      </c>
      <c r="C11" s="50">
        <f t="shared" si="0"/>
        <v>100000</v>
      </c>
      <c r="D11" s="31">
        <f t="shared" si="1"/>
        <v>0</v>
      </c>
      <c r="E11" s="52">
        <f t="shared" si="2"/>
        <v>0</v>
      </c>
      <c r="F11" s="34">
        <f t="shared" si="3"/>
        <v>0</v>
      </c>
      <c r="I11" s="2" t="s">
        <v>8</v>
      </c>
      <c r="J11" s="23">
        <f>I5*J15</f>
        <v>94.169516319879378</v>
      </c>
      <c r="N11" s="2" t="s">
        <v>12</v>
      </c>
      <c r="O11" s="22">
        <f ca="1">J11/O15</f>
        <v>19.282458645445672</v>
      </c>
    </row>
    <row r="12" spans="1:16" x14ac:dyDescent="0.2">
      <c r="A12" s="27">
        <f t="shared" si="4"/>
        <v>2</v>
      </c>
      <c r="B12" s="46">
        <v>100000</v>
      </c>
      <c r="C12" s="50">
        <f t="shared" si="0"/>
        <v>100000</v>
      </c>
      <c r="D12" s="31">
        <f t="shared" si="1"/>
        <v>0</v>
      </c>
      <c r="E12" s="52">
        <f t="shared" si="2"/>
        <v>0</v>
      </c>
      <c r="F12" s="34">
        <f t="shared" si="3"/>
        <v>0</v>
      </c>
      <c r="J12" s="23">
        <f>I5*J16</f>
        <v>94.169516319879378</v>
      </c>
      <c r="K12" s="23">
        <f>SinglePremiumPE(I1,I3,I4,I5)</f>
        <v>94.169516319879378</v>
      </c>
      <c r="O12" s="22">
        <f>J12/O16</f>
        <v>19.282458645445672</v>
      </c>
      <c r="P12" s="22">
        <f>AnnualPremium(K12,I1,I2,I4)</f>
        <v>19.282458645445672</v>
      </c>
    </row>
    <row r="13" spans="1:16" x14ac:dyDescent="0.2">
      <c r="A13" s="27">
        <f t="shared" si="4"/>
        <v>3</v>
      </c>
      <c r="B13" s="46">
        <v>100000</v>
      </c>
      <c r="C13" s="50">
        <f t="shared" si="0"/>
        <v>100000</v>
      </c>
      <c r="D13" s="31">
        <f t="shared" si="1"/>
        <v>0</v>
      </c>
      <c r="E13" s="52">
        <f t="shared" si="2"/>
        <v>0</v>
      </c>
      <c r="F13" s="34">
        <f t="shared" si="3"/>
        <v>0</v>
      </c>
      <c r="J13" s="18" t="str">
        <f>IF(J12=J11,"OK","error")</f>
        <v>OK</v>
      </c>
      <c r="K13" s="18" t="str">
        <f>IF(K12=J11,"OK","error")</f>
        <v>OK</v>
      </c>
      <c r="O13" s="18" t="str">
        <f ca="1">IF(O12=O11,"OK","error")</f>
        <v>OK</v>
      </c>
      <c r="P13" s="18" t="str">
        <f ca="1">IF(P12=O11,"OK","error")</f>
        <v>OK</v>
      </c>
    </row>
    <row r="14" spans="1:16" x14ac:dyDescent="0.2">
      <c r="A14" s="27">
        <f t="shared" si="4"/>
        <v>4</v>
      </c>
      <c r="B14" s="46">
        <v>100000</v>
      </c>
      <c r="C14" s="50">
        <f t="shared" si="0"/>
        <v>100000</v>
      </c>
      <c r="D14" s="31">
        <f t="shared" si="1"/>
        <v>0</v>
      </c>
      <c r="E14" s="52">
        <f t="shared" si="2"/>
        <v>0</v>
      </c>
      <c r="F14" s="34">
        <f t="shared" si="3"/>
        <v>0</v>
      </c>
    </row>
    <row r="15" spans="1:16" x14ac:dyDescent="0.2">
      <c r="A15" s="27">
        <f t="shared" si="4"/>
        <v>5</v>
      </c>
      <c r="B15" s="46">
        <v>100000</v>
      </c>
      <c r="C15" s="50">
        <f t="shared" si="0"/>
        <v>100000</v>
      </c>
      <c r="D15" s="31">
        <f t="shared" si="1"/>
        <v>0</v>
      </c>
      <c r="E15" s="52">
        <f t="shared" si="2"/>
        <v>0</v>
      </c>
      <c r="F15" s="34">
        <f t="shared" si="3"/>
        <v>0</v>
      </c>
      <c r="I15" s="2" t="s">
        <v>9</v>
      </c>
      <c r="J15" s="19">
        <f>K20</f>
        <v>0.94169516319879376</v>
      </c>
      <c r="N15" s="1" t="s">
        <v>20</v>
      </c>
      <c r="O15" s="13">
        <f ca="1">SUM(INDIRECT("P20"&amp;":P"&amp;(20+I2-1)))</f>
        <v>4.8836882293597608</v>
      </c>
    </row>
    <row r="16" spans="1:16" x14ac:dyDescent="0.2">
      <c r="A16" s="27">
        <f t="shared" si="4"/>
        <v>6</v>
      </c>
      <c r="B16" s="46">
        <v>100000</v>
      </c>
      <c r="C16" s="50">
        <f t="shared" si="0"/>
        <v>100000</v>
      </c>
      <c r="D16" s="31">
        <f t="shared" si="1"/>
        <v>0</v>
      </c>
      <c r="E16" s="52">
        <f t="shared" si="2"/>
        <v>0</v>
      </c>
      <c r="F16" s="34">
        <f t="shared" si="3"/>
        <v>0</v>
      </c>
      <c r="J16" s="36">
        <f>nEx(I1,I3,I4)</f>
        <v>0.94169516319879376</v>
      </c>
      <c r="O16" s="13">
        <f>AnnuityFactor(I1,I2,I4)</f>
        <v>4.8836882293597608</v>
      </c>
    </row>
    <row r="17" spans="1:16" x14ac:dyDescent="0.2">
      <c r="A17" s="27">
        <f t="shared" si="4"/>
        <v>7</v>
      </c>
      <c r="B17" s="46">
        <v>100000</v>
      </c>
      <c r="C17" s="50">
        <f t="shared" si="0"/>
        <v>100000</v>
      </c>
      <c r="D17" s="31">
        <f t="shared" si="1"/>
        <v>0</v>
      </c>
      <c r="E17" s="52">
        <f t="shared" si="2"/>
        <v>0</v>
      </c>
      <c r="F17" s="34">
        <f t="shared" si="3"/>
        <v>0</v>
      </c>
      <c r="J17" s="18" t="str">
        <f>IF(J16=J15,"OK","error")</f>
        <v>OK</v>
      </c>
      <c r="O17" s="18" t="str">
        <f ca="1">IF(O16=O15,"OK","error")</f>
        <v>OK</v>
      </c>
    </row>
    <row r="18" spans="1:16" x14ac:dyDescent="0.2">
      <c r="A18" s="27">
        <f t="shared" si="4"/>
        <v>8</v>
      </c>
      <c r="B18" s="46">
        <v>100000</v>
      </c>
      <c r="C18" s="50">
        <f t="shared" si="0"/>
        <v>100000</v>
      </c>
      <c r="D18" s="31">
        <f t="shared" si="1"/>
        <v>0</v>
      </c>
      <c r="E18" s="52">
        <f t="shared" si="2"/>
        <v>0</v>
      </c>
      <c r="F18" s="34">
        <f t="shared" si="3"/>
        <v>0</v>
      </c>
      <c r="H18" s="10"/>
    </row>
    <row r="19" spans="1:16" x14ac:dyDescent="0.2">
      <c r="A19" s="27">
        <f t="shared" si="4"/>
        <v>9</v>
      </c>
      <c r="B19" s="46">
        <v>100000</v>
      </c>
      <c r="C19" s="50">
        <f t="shared" si="0"/>
        <v>100000</v>
      </c>
      <c r="D19" s="31">
        <f t="shared" si="1"/>
        <v>0</v>
      </c>
      <c r="E19" s="52">
        <f t="shared" si="2"/>
        <v>0</v>
      </c>
      <c r="F19" s="34">
        <f t="shared" si="3"/>
        <v>0</v>
      </c>
      <c r="H19" s="42"/>
      <c r="I19" s="24" t="s">
        <v>22</v>
      </c>
      <c r="J19" s="16" t="s">
        <v>23</v>
      </c>
      <c r="K19" s="16" t="s">
        <v>24</v>
      </c>
      <c r="M19" s="16" t="s">
        <v>7</v>
      </c>
      <c r="N19" s="16" t="s">
        <v>17</v>
      </c>
      <c r="O19" s="16" t="s">
        <v>18</v>
      </c>
      <c r="P19" s="16" t="s">
        <v>19</v>
      </c>
    </row>
    <row r="20" spans="1:16" x14ac:dyDescent="0.2">
      <c r="A20" s="27">
        <f t="shared" si="4"/>
        <v>10</v>
      </c>
      <c r="B20" s="46">
        <v>100000</v>
      </c>
      <c r="C20" s="50">
        <f t="shared" si="0"/>
        <v>100000</v>
      </c>
      <c r="D20" s="31">
        <f t="shared" si="1"/>
        <v>0</v>
      </c>
      <c r="E20" s="52">
        <f t="shared" si="2"/>
        <v>0</v>
      </c>
      <c r="F20" s="34">
        <f t="shared" si="3"/>
        <v>0</v>
      </c>
      <c r="H20" s="43"/>
      <c r="I20" s="19">
        <f>techDF(I3,$I$4)</f>
        <v>0.95146568760674866</v>
      </c>
      <c r="J20" s="19">
        <f>VLOOKUP(I3+I1,A10:B122,2,FALSE)/VLOOKUP(I1,A10:B122,2,FALSE)</f>
        <v>0.98973108065249205</v>
      </c>
      <c r="K20" s="19">
        <f>I20*J20</f>
        <v>0.94169516319879376</v>
      </c>
      <c r="M20" s="12">
        <v>0</v>
      </c>
      <c r="N20" s="13">
        <f t="shared" ref="N20:N51" si="5">npx($I$1,M20)</f>
        <v>1</v>
      </c>
      <c r="O20" s="13">
        <f t="shared" ref="O20:O51" si="6">techDF(M20,$I$4)</f>
        <v>1</v>
      </c>
      <c r="P20" s="13">
        <f t="shared" ref="P20:P51" si="7">nEx($I$1,M20,$I$4)</f>
        <v>1</v>
      </c>
    </row>
    <row r="21" spans="1:16" x14ac:dyDescent="0.2">
      <c r="A21" s="27">
        <f t="shared" si="4"/>
        <v>11</v>
      </c>
      <c r="B21" s="46">
        <v>100000</v>
      </c>
      <c r="C21" s="50">
        <f t="shared" si="0"/>
        <v>100000</v>
      </c>
      <c r="D21" s="31">
        <f t="shared" si="1"/>
        <v>0</v>
      </c>
      <c r="E21" s="52">
        <f t="shared" si="2"/>
        <v>0</v>
      </c>
      <c r="F21" s="34">
        <f t="shared" si="3"/>
        <v>0</v>
      </c>
      <c r="H21" s="10"/>
      <c r="I21" s="44"/>
      <c r="J21" s="44"/>
      <c r="K21" s="44"/>
      <c r="L21" s="10"/>
      <c r="M21" s="11">
        <f t="shared" ref="M21:M52" si="8">M20+1</f>
        <v>1</v>
      </c>
      <c r="N21" s="13">
        <f t="shared" si="5"/>
        <v>0.99835250296754108</v>
      </c>
      <c r="O21" s="13">
        <f t="shared" si="6"/>
        <v>0.99009900990099009</v>
      </c>
      <c r="P21" s="13">
        <f t="shared" si="7"/>
        <v>0.98846782472033767</v>
      </c>
    </row>
    <row r="22" spans="1:16" x14ac:dyDescent="0.2">
      <c r="A22" s="27">
        <f t="shared" si="4"/>
        <v>12</v>
      </c>
      <c r="B22" s="46">
        <v>100000</v>
      </c>
      <c r="C22" s="50">
        <f t="shared" si="0"/>
        <v>100000</v>
      </c>
      <c r="D22" s="31">
        <f t="shared" si="1"/>
        <v>0</v>
      </c>
      <c r="E22" s="52">
        <f t="shared" si="2"/>
        <v>0</v>
      </c>
      <c r="F22" s="34">
        <f t="shared" si="3"/>
        <v>0</v>
      </c>
      <c r="H22" s="10"/>
      <c r="I22" s="44"/>
      <c r="J22" s="44"/>
      <c r="K22" s="44"/>
      <c r="L22" s="10"/>
      <c r="M22" s="11">
        <f t="shared" si="8"/>
        <v>2</v>
      </c>
      <c r="N22" s="13">
        <f t="shared" si="5"/>
        <v>0.996404738116341</v>
      </c>
      <c r="O22" s="13">
        <f t="shared" si="6"/>
        <v>0.98029604940692083</v>
      </c>
      <c r="P22" s="13">
        <f t="shared" si="7"/>
        <v>0.97677162838578668</v>
      </c>
    </row>
    <row r="23" spans="1:16" x14ac:dyDescent="0.2">
      <c r="A23" s="27">
        <f t="shared" si="4"/>
        <v>13</v>
      </c>
      <c r="B23" s="46">
        <v>100000</v>
      </c>
      <c r="C23" s="50">
        <f t="shared" si="0"/>
        <v>100000</v>
      </c>
      <c r="D23" s="31">
        <f t="shared" si="1"/>
        <v>0</v>
      </c>
      <c r="E23" s="52">
        <f t="shared" si="2"/>
        <v>0</v>
      </c>
      <c r="F23" s="34">
        <f t="shared" si="3"/>
        <v>0</v>
      </c>
      <c r="H23" s="10"/>
      <c r="I23" s="44"/>
      <c r="J23" s="44"/>
      <c r="K23" s="44"/>
      <c r="L23" s="10"/>
      <c r="M23" s="11">
        <f t="shared" si="8"/>
        <v>3</v>
      </c>
      <c r="N23" s="13">
        <f t="shared" si="5"/>
        <v>0.9943134537497893</v>
      </c>
      <c r="O23" s="13">
        <f t="shared" si="6"/>
        <v>0.97059014792764431</v>
      </c>
      <c r="P23" s="13">
        <f t="shared" si="7"/>
        <v>0.96507084216145489</v>
      </c>
    </row>
    <row r="24" spans="1:16" x14ac:dyDescent="0.2">
      <c r="A24" s="27">
        <f t="shared" si="4"/>
        <v>14</v>
      </c>
      <c r="B24" s="46">
        <v>100000</v>
      </c>
      <c r="C24" s="50">
        <f t="shared" si="0"/>
        <v>100000</v>
      </c>
      <c r="D24" s="31">
        <f t="shared" si="1"/>
        <v>0</v>
      </c>
      <c r="E24" s="52">
        <f t="shared" si="2"/>
        <v>0</v>
      </c>
      <c r="F24" s="34">
        <f t="shared" si="3"/>
        <v>0</v>
      </c>
      <c r="H24" s="10"/>
      <c r="I24" s="44"/>
      <c r="J24" s="44"/>
      <c r="K24" s="44"/>
      <c r="L24" s="10"/>
      <c r="M24" s="11">
        <f t="shared" si="8"/>
        <v>4</v>
      </c>
      <c r="N24" s="13">
        <f t="shared" si="5"/>
        <v>0.99208890126183957</v>
      </c>
      <c r="O24" s="13">
        <f t="shared" si="6"/>
        <v>0.96098034448281622</v>
      </c>
      <c r="P24" s="13">
        <f t="shared" si="7"/>
        <v>0.95337793409218119</v>
      </c>
    </row>
    <row r="25" spans="1:16" x14ac:dyDescent="0.2">
      <c r="A25" s="27">
        <f t="shared" si="4"/>
        <v>15</v>
      </c>
      <c r="B25" s="46">
        <v>100000</v>
      </c>
      <c r="C25" s="50">
        <f t="shared" si="0"/>
        <v>100000</v>
      </c>
      <c r="D25" s="31">
        <f t="shared" si="1"/>
        <v>0</v>
      </c>
      <c r="E25" s="52">
        <f t="shared" si="2"/>
        <v>0</v>
      </c>
      <c r="F25" s="34">
        <f t="shared" si="3"/>
        <v>0</v>
      </c>
      <c r="H25" s="10"/>
      <c r="I25" s="44"/>
      <c r="J25" s="44"/>
      <c r="K25" s="44"/>
      <c r="L25" s="10"/>
      <c r="M25" s="11">
        <f t="shared" si="8"/>
        <v>5</v>
      </c>
      <c r="N25" s="13">
        <f t="shared" si="5"/>
        <v>0.98973108065249205</v>
      </c>
      <c r="O25" s="13">
        <f t="shared" si="6"/>
        <v>0.95146568760674866</v>
      </c>
      <c r="P25" s="13">
        <f t="shared" si="7"/>
        <v>0.94169516319879376</v>
      </c>
    </row>
    <row r="26" spans="1:16" x14ac:dyDescent="0.2">
      <c r="A26" s="27">
        <f t="shared" si="4"/>
        <v>16</v>
      </c>
      <c r="B26" s="46">
        <v>100000</v>
      </c>
      <c r="C26" s="50">
        <f t="shared" si="0"/>
        <v>100000</v>
      </c>
      <c r="D26" s="31">
        <f t="shared" si="1"/>
        <v>0</v>
      </c>
      <c r="E26" s="52">
        <f t="shared" si="2"/>
        <v>12.056545196974184</v>
      </c>
      <c r="F26" s="34">
        <f t="shared" si="3"/>
        <v>1.2056545196974185E-4</v>
      </c>
      <c r="H26" s="10"/>
      <c r="I26" s="44"/>
      <c r="J26" s="44"/>
      <c r="K26" s="44"/>
      <c r="L26" s="10"/>
      <c r="M26" s="11">
        <f t="shared" si="8"/>
        <v>6</v>
      </c>
      <c r="N26" s="13">
        <f t="shared" si="5"/>
        <v>0.98725024331570033</v>
      </c>
      <c r="O26" s="13">
        <f t="shared" si="6"/>
        <v>0.94204523525420658</v>
      </c>
      <c r="P26" s="13">
        <f t="shared" si="7"/>
        <v>0.93003438771911162</v>
      </c>
    </row>
    <row r="27" spans="1:16" x14ac:dyDescent="0.2">
      <c r="A27" s="27">
        <f t="shared" si="4"/>
        <v>17</v>
      </c>
      <c r="B27" s="46">
        <v>99987.943454803026</v>
      </c>
      <c r="C27" s="50">
        <f t="shared" si="0"/>
        <v>99987.943454803026</v>
      </c>
      <c r="D27" s="31">
        <f t="shared" si="1"/>
        <v>0</v>
      </c>
      <c r="E27" s="52">
        <f t="shared" si="2"/>
        <v>11.051833097226336</v>
      </c>
      <c r="F27" s="34">
        <f t="shared" si="3"/>
        <v>1.1053165727147926E-4</v>
      </c>
      <c r="H27" s="10"/>
      <c r="I27" s="44"/>
      <c r="J27" s="44"/>
      <c r="K27" s="44"/>
      <c r="L27" s="10"/>
      <c r="M27" s="11">
        <f t="shared" si="8"/>
        <v>7</v>
      </c>
      <c r="N27" s="13">
        <f t="shared" si="5"/>
        <v>0.9846361378575107</v>
      </c>
      <c r="O27" s="13">
        <f t="shared" si="6"/>
        <v>0.93271805470713531</v>
      </c>
      <c r="P27" s="13">
        <f t="shared" si="7"/>
        <v>0.91838790309680407</v>
      </c>
    </row>
    <row r="28" spans="1:16" x14ac:dyDescent="0.2">
      <c r="A28" s="27">
        <f t="shared" si="4"/>
        <v>18</v>
      </c>
      <c r="B28" s="46">
        <v>99976.891621705799</v>
      </c>
      <c r="C28" s="50">
        <f t="shared" si="0"/>
        <v>99976.891621705799</v>
      </c>
      <c r="D28" s="31">
        <f t="shared" si="1"/>
        <v>0</v>
      </c>
      <c r="E28" s="52">
        <f t="shared" si="2"/>
        <v>10.047120997478487</v>
      </c>
      <c r="F28" s="34">
        <f t="shared" si="3"/>
        <v>1.0049443260843664E-4</v>
      </c>
      <c r="H28" s="10"/>
      <c r="I28" s="44"/>
      <c r="J28" s="44"/>
      <c r="K28" s="44"/>
      <c r="L28" s="10"/>
      <c r="M28" s="11">
        <f t="shared" si="8"/>
        <v>8</v>
      </c>
      <c r="N28" s="13">
        <f t="shared" si="5"/>
        <v>0.98185801009606188</v>
      </c>
      <c r="O28" s="13">
        <f t="shared" si="6"/>
        <v>0.92348322248231218</v>
      </c>
      <c r="P28" s="13">
        <f t="shared" si="7"/>
        <v>0.90672939918358186</v>
      </c>
    </row>
    <row r="29" spans="1:16" x14ac:dyDescent="0.2">
      <c r="A29" s="27">
        <f t="shared" si="4"/>
        <v>19</v>
      </c>
      <c r="B29" s="46">
        <v>99966.844500708321</v>
      </c>
      <c r="C29" s="50">
        <f t="shared" si="0"/>
        <v>99966.844500708321</v>
      </c>
      <c r="D29" s="31">
        <f t="shared" si="1"/>
        <v>0</v>
      </c>
      <c r="E29" s="52">
        <f t="shared" si="2"/>
        <v>10.047120997478487</v>
      </c>
      <c r="F29" s="34">
        <f t="shared" si="3"/>
        <v>1.0050453275443037E-4</v>
      </c>
      <c r="H29" s="10"/>
      <c r="I29" s="44"/>
      <c r="J29" s="44"/>
      <c r="K29" s="44"/>
      <c r="L29" s="10"/>
      <c r="M29" s="11">
        <f t="shared" si="8"/>
        <v>9</v>
      </c>
      <c r="N29" s="13">
        <f t="shared" si="5"/>
        <v>0.9788953572434469</v>
      </c>
      <c r="O29" s="13">
        <f t="shared" si="6"/>
        <v>0.91433982423991311</v>
      </c>
      <c r="P29" s="13">
        <f t="shared" si="7"/>
        <v>0.89504300889124022</v>
      </c>
    </row>
    <row r="30" spans="1:16" x14ac:dyDescent="0.2">
      <c r="A30" s="27">
        <f t="shared" si="4"/>
        <v>20</v>
      </c>
      <c r="B30" s="46">
        <v>99956.797379710843</v>
      </c>
      <c r="C30" s="50">
        <f t="shared" si="0"/>
        <v>99956.797379710843</v>
      </c>
      <c r="D30" s="31">
        <f t="shared" si="1"/>
        <v>0</v>
      </c>
      <c r="E30" s="52">
        <f t="shared" si="2"/>
        <v>10.047120997478487</v>
      </c>
      <c r="F30" s="34">
        <f t="shared" si="3"/>
        <v>1.0051463493084907E-4</v>
      </c>
      <c r="H30" s="10"/>
      <c r="I30" s="44"/>
      <c r="J30" s="44"/>
      <c r="K30" s="44"/>
      <c r="L30" s="10"/>
      <c r="M30" s="11">
        <f t="shared" si="8"/>
        <v>10</v>
      </c>
      <c r="N30" s="13">
        <f t="shared" si="5"/>
        <v>0.97572767651175807</v>
      </c>
      <c r="O30" s="13">
        <f t="shared" si="6"/>
        <v>0.90528695469298326</v>
      </c>
      <c r="P30" s="13">
        <f t="shared" si="7"/>
        <v>0.88331353687898972</v>
      </c>
    </row>
    <row r="31" spans="1:16" x14ac:dyDescent="0.2">
      <c r="A31" s="27">
        <f t="shared" si="4"/>
        <v>21</v>
      </c>
      <c r="B31" s="46">
        <v>99946.750258713364</v>
      </c>
      <c r="C31" s="50">
        <f t="shared" si="0"/>
        <v>99946.750258713364</v>
      </c>
      <c r="D31" s="31">
        <f t="shared" si="1"/>
        <v>0</v>
      </c>
      <c r="E31" s="52">
        <f t="shared" si="2"/>
        <v>11.051833097226336</v>
      </c>
      <c r="F31" s="34">
        <f t="shared" si="3"/>
        <v>1.1057721305213559E-4</v>
      </c>
      <c r="H31" s="10"/>
      <c r="I31" s="44"/>
      <c r="J31" s="44"/>
      <c r="K31" s="44"/>
      <c r="L31" s="10"/>
      <c r="M31" s="11">
        <f t="shared" si="8"/>
        <v>11</v>
      </c>
      <c r="N31" s="13">
        <f t="shared" si="5"/>
        <v>0.97235496790099563</v>
      </c>
      <c r="O31" s="13">
        <f t="shared" si="6"/>
        <v>0.89632371751780526</v>
      </c>
      <c r="P31" s="13">
        <f t="shared" si="7"/>
        <v>0.87154481957592655</v>
      </c>
    </row>
    <row r="32" spans="1:16" x14ac:dyDescent="0.2">
      <c r="A32" s="27">
        <f t="shared" si="4"/>
        <v>22</v>
      </c>
      <c r="B32" s="46">
        <v>99935.698425616138</v>
      </c>
      <c r="C32" s="50">
        <f t="shared" si="0"/>
        <v>99935.698425616138</v>
      </c>
      <c r="D32" s="31">
        <f t="shared" si="1"/>
        <v>0</v>
      </c>
      <c r="E32" s="52">
        <f t="shared" si="2"/>
        <v>11.051833097226336</v>
      </c>
      <c r="F32" s="34">
        <f t="shared" si="3"/>
        <v>1.1058944172439447E-4</v>
      </c>
      <c r="H32" s="10"/>
      <c r="I32" s="44"/>
      <c r="J32" s="44"/>
      <c r="K32" s="44"/>
      <c r="L32" s="10"/>
      <c r="M32" s="11">
        <f t="shared" si="8"/>
        <v>12</v>
      </c>
      <c r="N32" s="13">
        <f t="shared" si="5"/>
        <v>0.9685479040802597</v>
      </c>
      <c r="O32" s="13">
        <f t="shared" si="6"/>
        <v>0.88744922526515368</v>
      </c>
      <c r="P32" s="13">
        <f t="shared" si="7"/>
        <v>0.85953708710821486</v>
      </c>
    </row>
    <row r="33" spans="1:16" x14ac:dyDescent="0.2">
      <c r="A33" s="27">
        <f t="shared" si="4"/>
        <v>23</v>
      </c>
      <c r="B33" s="46">
        <v>99924.646592518911</v>
      </c>
      <c r="C33" s="50">
        <f t="shared" si="0"/>
        <v>99924.646592518911</v>
      </c>
      <c r="D33" s="31">
        <f t="shared" si="1"/>
        <v>0</v>
      </c>
      <c r="E33" s="52">
        <f t="shared" si="2"/>
        <v>12.056545196974184</v>
      </c>
      <c r="F33" s="34">
        <f t="shared" si="3"/>
        <v>1.2065637065637444E-4</v>
      </c>
      <c r="H33" s="10"/>
      <c r="I33" s="44"/>
      <c r="J33" s="44"/>
      <c r="K33" s="44"/>
      <c r="L33" s="10"/>
      <c r="M33" s="11">
        <f t="shared" si="8"/>
        <v>13</v>
      </c>
      <c r="N33" s="13">
        <f t="shared" si="5"/>
        <v>0.96453505302597053</v>
      </c>
      <c r="O33" s="13">
        <f t="shared" si="6"/>
        <v>0.87866259927242929</v>
      </c>
      <c r="P33" s="13">
        <f t="shared" si="7"/>
        <v>0.8475008767811697</v>
      </c>
    </row>
    <row r="34" spans="1:16" x14ac:dyDescent="0.2">
      <c r="A34" s="27">
        <f t="shared" si="4"/>
        <v>24</v>
      </c>
      <c r="B34" s="46">
        <v>99912.590047321937</v>
      </c>
      <c r="C34" s="50">
        <f t="shared" si="0"/>
        <v>99912.590047321937</v>
      </c>
      <c r="D34" s="31">
        <f t="shared" si="1"/>
        <v>0</v>
      </c>
      <c r="E34" s="52">
        <f t="shared" si="2"/>
        <v>13.061257296722033</v>
      </c>
      <c r="F34" s="34">
        <f t="shared" si="3"/>
        <v>1.3072684123728337E-4</v>
      </c>
      <c r="H34" s="10"/>
      <c r="I34" s="44"/>
      <c r="J34" s="44"/>
      <c r="K34" s="44"/>
      <c r="L34" s="10"/>
      <c r="M34" s="11">
        <f t="shared" si="8"/>
        <v>14</v>
      </c>
      <c r="N34" s="13">
        <f t="shared" si="5"/>
        <v>0.96029583601477253</v>
      </c>
      <c r="O34" s="13">
        <f t="shared" si="6"/>
        <v>0.86996296957666264</v>
      </c>
      <c r="P34" s="13">
        <f t="shared" si="7"/>
        <v>0.83542181717151531</v>
      </c>
    </row>
    <row r="35" spans="1:16" x14ac:dyDescent="0.2">
      <c r="A35" s="27">
        <f t="shared" si="4"/>
        <v>25</v>
      </c>
      <c r="B35" s="46">
        <v>99899.528790025215</v>
      </c>
      <c r="C35" s="50">
        <f t="shared" si="0"/>
        <v>99899.528790025215</v>
      </c>
      <c r="D35" s="31">
        <f t="shared" si="1"/>
        <v>0</v>
      </c>
      <c r="E35" s="52">
        <f t="shared" si="2"/>
        <v>16.075393595965579</v>
      </c>
      <c r="F35" s="34">
        <f t="shared" si="3"/>
        <v>1.6091560981988014E-4</v>
      </c>
      <c r="H35" s="10"/>
      <c r="I35" s="44"/>
      <c r="J35" s="44"/>
      <c r="K35" s="44"/>
      <c r="L35" s="10"/>
      <c r="M35" s="11">
        <f t="shared" si="8"/>
        <v>15</v>
      </c>
      <c r="N35" s="13">
        <f t="shared" si="5"/>
        <v>0.95579938496163319</v>
      </c>
      <c r="O35" s="13">
        <f t="shared" si="6"/>
        <v>0.86134947482837887</v>
      </c>
      <c r="P35" s="13">
        <f t="shared" si="7"/>
        <v>0.82327729827799023</v>
      </c>
    </row>
    <row r="36" spans="1:16" x14ac:dyDescent="0.2">
      <c r="A36" s="27">
        <f t="shared" si="4"/>
        <v>26</v>
      </c>
      <c r="B36" s="46">
        <v>99883.45339642925</v>
      </c>
      <c r="C36" s="50">
        <f t="shared" si="0"/>
        <v>99883.45339642925</v>
      </c>
      <c r="D36" s="31">
        <f t="shared" si="1"/>
        <v>0</v>
      </c>
      <c r="E36" s="52">
        <f t="shared" si="2"/>
        <v>20.094241994956974</v>
      </c>
      <c r="F36" s="34">
        <f t="shared" si="3"/>
        <v>2.0117688477594556E-4</v>
      </c>
      <c r="H36" s="10"/>
      <c r="I36" s="44"/>
      <c r="J36" s="44"/>
      <c r="K36" s="44"/>
      <c r="L36" s="10"/>
      <c r="M36" s="11">
        <f t="shared" si="8"/>
        <v>16</v>
      </c>
      <c r="N36" s="13">
        <f t="shared" si="5"/>
        <v>0.95099425305816376</v>
      </c>
      <c r="O36" s="13">
        <f t="shared" si="6"/>
        <v>0.8528212622063156</v>
      </c>
      <c r="P36" s="13">
        <f t="shared" si="7"/>
        <v>0.81102811924401552</v>
      </c>
    </row>
    <row r="37" spans="1:16" x14ac:dyDescent="0.2">
      <c r="A37" s="27">
        <f t="shared" si="4"/>
        <v>27</v>
      </c>
      <c r="B37" s="46">
        <v>99863.359154434293</v>
      </c>
      <c r="C37" s="50">
        <f t="shared" si="0"/>
        <v>99863.359154434293</v>
      </c>
      <c r="D37" s="31">
        <f t="shared" si="1"/>
        <v>0</v>
      </c>
      <c r="E37" s="52">
        <f t="shared" si="2"/>
        <v>24.113090393948369</v>
      </c>
      <c r="F37" s="34">
        <f t="shared" si="3"/>
        <v>2.4146083807033303E-4</v>
      </c>
      <c r="H37" s="10"/>
      <c r="I37" s="44"/>
      <c r="J37" s="44"/>
      <c r="K37" s="44"/>
      <c r="L37" s="10"/>
      <c r="M37" s="11">
        <f t="shared" si="8"/>
        <v>17</v>
      </c>
      <c r="N37" s="13">
        <f t="shared" si="5"/>
        <v>0.94582899349597604</v>
      </c>
      <c r="O37" s="13">
        <f t="shared" si="6"/>
        <v>0.8443774873329859</v>
      </c>
      <c r="P37" s="13">
        <f t="shared" si="7"/>
        <v>0.79863670897481931</v>
      </c>
    </row>
    <row r="38" spans="1:16" x14ac:dyDescent="0.2">
      <c r="A38" s="27">
        <f t="shared" si="4"/>
        <v>28</v>
      </c>
      <c r="B38" s="46">
        <v>99839.246064040344</v>
      </c>
      <c r="C38" s="50">
        <f t="shared" si="0"/>
        <v>99839.246064040344</v>
      </c>
      <c r="D38" s="31">
        <f t="shared" si="1"/>
        <v>0</v>
      </c>
      <c r="E38" s="52">
        <f t="shared" si="2"/>
        <v>29.136650892687612</v>
      </c>
      <c r="F38" s="34">
        <f t="shared" si="3"/>
        <v>2.9183564621469954E-4</v>
      </c>
      <c r="H38" s="10"/>
      <c r="I38" s="44"/>
      <c r="J38" s="44"/>
      <c r="K38" s="44"/>
      <c r="L38" s="10"/>
      <c r="M38" s="11">
        <f t="shared" si="8"/>
        <v>18</v>
      </c>
      <c r="N38" s="13">
        <f t="shared" si="5"/>
        <v>0.94026244882835952</v>
      </c>
      <c r="O38" s="13">
        <f t="shared" si="6"/>
        <v>0.83601731419107506</v>
      </c>
      <c r="P38" s="13">
        <f t="shared" si="7"/>
        <v>0.78607568710420828</v>
      </c>
    </row>
    <row r="39" spans="1:16" x14ac:dyDescent="0.2">
      <c r="A39" s="27">
        <f t="shared" si="4"/>
        <v>29</v>
      </c>
      <c r="B39" s="46">
        <v>99810.109413147657</v>
      </c>
      <c r="C39" s="50">
        <f t="shared" si="0"/>
        <v>99810.109413147657</v>
      </c>
      <c r="D39" s="31">
        <f t="shared" si="1"/>
        <v>0</v>
      </c>
      <c r="E39" s="52">
        <f t="shared" si="2"/>
        <v>33.155499291679007</v>
      </c>
      <c r="F39" s="34">
        <f t="shared" si="3"/>
        <v>3.3218578244852164E-4</v>
      </c>
      <c r="H39" s="10"/>
      <c r="I39" s="44"/>
      <c r="J39" s="44"/>
      <c r="K39" s="44"/>
      <c r="L39" s="10"/>
      <c r="M39" s="11">
        <f t="shared" si="8"/>
        <v>19</v>
      </c>
      <c r="N39" s="13">
        <f t="shared" si="5"/>
        <v>0.9337073189219931</v>
      </c>
      <c r="O39" s="13">
        <f t="shared" si="6"/>
        <v>0.82773991504066846</v>
      </c>
      <c r="P39" s="13">
        <f t="shared" si="7"/>
        <v>0.77286681683734093</v>
      </c>
    </row>
    <row r="40" spans="1:16" x14ac:dyDescent="0.2">
      <c r="A40" s="27">
        <f t="shared" si="4"/>
        <v>30</v>
      </c>
      <c r="B40" s="46">
        <v>99776.953913855978</v>
      </c>
      <c r="C40" s="50">
        <f t="shared" si="0"/>
        <v>99776.953913855978</v>
      </c>
      <c r="D40" s="31">
        <f t="shared" si="1"/>
        <v>0</v>
      </c>
      <c r="E40" s="52">
        <f t="shared" si="2"/>
        <v>35.164923491174704</v>
      </c>
      <c r="F40" s="34">
        <f t="shared" si="3"/>
        <v>3.5243532811730151E-4</v>
      </c>
      <c r="H40" s="10"/>
      <c r="M40" s="11">
        <f t="shared" si="8"/>
        <v>20</v>
      </c>
      <c r="N40" s="13">
        <f t="shared" si="5"/>
        <v>0.92658262796531043</v>
      </c>
      <c r="O40" s="13">
        <f t="shared" si="6"/>
        <v>0.81954447033729538</v>
      </c>
      <c r="P40" s="13">
        <f t="shared" si="7"/>
        <v>0.75937566905956955</v>
      </c>
    </row>
    <row r="41" spans="1:16" x14ac:dyDescent="0.2">
      <c r="A41" s="27">
        <f t="shared" si="4"/>
        <v>31</v>
      </c>
      <c r="B41" s="46">
        <v>99741.788990364803</v>
      </c>
      <c r="C41" s="50">
        <f t="shared" si="0"/>
        <v>99741.788990364803</v>
      </c>
      <c r="D41" s="31">
        <f t="shared" si="1"/>
        <v>0</v>
      </c>
      <c r="E41" s="52">
        <f t="shared" si="2"/>
        <v>35.164923491174704</v>
      </c>
      <c r="F41" s="34">
        <f t="shared" si="3"/>
        <v>3.5255958256946528E-4</v>
      </c>
      <c r="M41" s="11">
        <f t="shared" si="8"/>
        <v>21</v>
      </c>
      <c r="N41" s="13">
        <f t="shared" si="5"/>
        <v>0.91881588637008971</v>
      </c>
      <c r="O41" s="13">
        <f t="shared" si="6"/>
        <v>0.81143016865078754</v>
      </c>
      <c r="P41" s="13">
        <f t="shared" si="7"/>
        <v>0.74555492963630476</v>
      </c>
    </row>
    <row r="42" spans="1:16" x14ac:dyDescent="0.2">
      <c r="A42" s="27">
        <f t="shared" si="4"/>
        <v>32</v>
      </c>
      <c r="B42" s="46">
        <v>99706.624066873628</v>
      </c>
      <c r="C42" s="50">
        <f t="shared" ref="C42:C73" si="9">lx(A42)</f>
        <v>99706.624066873628</v>
      </c>
      <c r="D42" s="31">
        <f t="shared" ref="D42:D73" si="10">(B42&lt;&gt;C42)*1</f>
        <v>0</v>
      </c>
      <c r="E42" s="52">
        <f t="shared" ref="E42:E73" si="11">dx(A42)</f>
        <v>34.160211391426856</v>
      </c>
      <c r="F42" s="34">
        <f t="shared" ref="F42:F73" si="12">qx(A42)</f>
        <v>3.4260724110481833E-4</v>
      </c>
      <c r="M42" s="11">
        <f t="shared" si="8"/>
        <v>22</v>
      </c>
      <c r="N42" s="13">
        <f t="shared" si="5"/>
        <v>0.91033460454810855</v>
      </c>
      <c r="O42" s="13">
        <f t="shared" si="6"/>
        <v>0.80339620658493816</v>
      </c>
      <c r="P42" s="13">
        <f t="shared" si="7"/>
        <v>0.73135936801695023</v>
      </c>
    </row>
    <row r="43" spans="1:16" x14ac:dyDescent="0.2">
      <c r="A43" s="27">
        <f t="shared" ref="A43:A74" si="13">A42+1</f>
        <v>33</v>
      </c>
      <c r="B43" s="46">
        <v>99672.463855482201</v>
      </c>
      <c r="C43" s="50">
        <f t="shared" si="9"/>
        <v>99672.463855482201</v>
      </c>
      <c r="D43" s="31">
        <f t="shared" si="10"/>
        <v>0</v>
      </c>
      <c r="E43" s="52">
        <f t="shared" si="11"/>
        <v>35.201116363197798</v>
      </c>
      <c r="F43" s="34">
        <f t="shared" si="12"/>
        <v>3.531679162084008E-4</v>
      </c>
      <c r="M43" s="11">
        <f t="shared" si="8"/>
        <v>23</v>
      </c>
      <c r="N43" s="13">
        <f t="shared" si="5"/>
        <v>0.90104558160022441</v>
      </c>
      <c r="O43" s="13">
        <f t="shared" si="6"/>
        <v>0.79544178869795856</v>
      </c>
      <c r="P43" s="13">
        <f t="shared" si="7"/>
        <v>0.71672930912647492</v>
      </c>
    </row>
    <row r="44" spans="1:16" x14ac:dyDescent="0.2">
      <c r="A44" s="27">
        <f t="shared" si="13"/>
        <v>34</v>
      </c>
      <c r="B44" s="46">
        <v>99637.262739119004</v>
      </c>
      <c r="C44" s="50">
        <f t="shared" si="9"/>
        <v>99637.262739119004</v>
      </c>
      <c r="D44" s="31">
        <f t="shared" si="10"/>
        <v>0</v>
      </c>
      <c r="E44" s="52">
        <f t="shared" si="11"/>
        <v>35.201116363197798</v>
      </c>
      <c r="F44" s="34">
        <f t="shared" si="12"/>
        <v>3.5329268785078073E-4</v>
      </c>
      <c r="M44" s="11">
        <f t="shared" si="8"/>
        <v>24</v>
      </c>
      <c r="N44" s="13">
        <f t="shared" si="5"/>
        <v>0.89083490531637399</v>
      </c>
      <c r="O44" s="13">
        <f t="shared" si="6"/>
        <v>0.78756612742372134</v>
      </c>
      <c r="P44" s="13">
        <f t="shared" si="7"/>
        <v>0.70159139655389413</v>
      </c>
    </row>
    <row r="45" spans="1:16" x14ac:dyDescent="0.2">
      <c r="A45" s="27">
        <f t="shared" si="13"/>
        <v>35</v>
      </c>
      <c r="B45" s="46">
        <v>99602.061622755806</v>
      </c>
      <c r="C45" s="50">
        <f t="shared" si="9"/>
        <v>99602.061622755806</v>
      </c>
      <c r="D45" s="31">
        <f t="shared" si="10"/>
        <v>0</v>
      </c>
      <c r="E45" s="52">
        <f t="shared" si="11"/>
        <v>39.253035603149328</v>
      </c>
      <c r="F45" s="34">
        <f t="shared" si="12"/>
        <v>3.9409862570737486E-4</v>
      </c>
      <c r="M45" s="11">
        <f t="shared" si="8"/>
        <v>25</v>
      </c>
      <c r="N45" s="13">
        <f t="shared" si="5"/>
        <v>0.879619730452875</v>
      </c>
      <c r="O45" s="13">
        <f t="shared" si="6"/>
        <v>0.77976844299378356</v>
      </c>
      <c r="P45" s="13">
        <f t="shared" si="7"/>
        <v>0.68589970764184993</v>
      </c>
    </row>
    <row r="46" spans="1:16" x14ac:dyDescent="0.2">
      <c r="A46" s="27">
        <f t="shared" si="13"/>
        <v>36</v>
      </c>
      <c r="B46" s="46">
        <v>99562.808587152656</v>
      </c>
      <c r="C46" s="50">
        <f t="shared" si="9"/>
        <v>99562.808587152656</v>
      </c>
      <c r="D46" s="31">
        <f t="shared" si="10"/>
        <v>0</v>
      </c>
      <c r="E46" s="52">
        <f t="shared" si="11"/>
        <v>42.2724998803169</v>
      </c>
      <c r="F46" s="34">
        <f t="shared" si="12"/>
        <v>4.2458123148779513E-4</v>
      </c>
      <c r="M46" s="11">
        <f t="shared" si="8"/>
        <v>26</v>
      </c>
      <c r="N46" s="13">
        <f t="shared" si="5"/>
        <v>0.86729650045512452</v>
      </c>
      <c r="O46" s="13">
        <f t="shared" si="6"/>
        <v>0.77204796336018167</v>
      </c>
      <c r="P46" s="13">
        <f t="shared" si="7"/>
        <v>0.66959449680579175</v>
      </c>
    </row>
    <row r="47" spans="1:16" x14ac:dyDescent="0.2">
      <c r="A47" s="27">
        <f t="shared" si="13"/>
        <v>37</v>
      </c>
      <c r="B47" s="46">
        <v>99520.53608727234</v>
      </c>
      <c r="C47" s="50">
        <f t="shared" si="9"/>
        <v>99520.53608727234</v>
      </c>
      <c r="D47" s="31">
        <f t="shared" si="10"/>
        <v>0</v>
      </c>
      <c r="E47" s="52">
        <f t="shared" si="11"/>
        <v>46.298452249873662</v>
      </c>
      <c r="F47" s="34">
        <f t="shared" si="12"/>
        <v>4.6521506083200008E-4</v>
      </c>
      <c r="M47" s="11">
        <f t="shared" si="8"/>
        <v>27</v>
      </c>
      <c r="N47" s="13">
        <f t="shared" si="5"/>
        <v>0.85374094745759899</v>
      </c>
      <c r="O47" s="13">
        <f t="shared" si="6"/>
        <v>0.76440392411899172</v>
      </c>
      <c r="P47" s="13">
        <f t="shared" si="7"/>
        <v>0.6526029304176546</v>
      </c>
    </row>
    <row r="48" spans="1:16" x14ac:dyDescent="0.2">
      <c r="A48" s="27">
        <f t="shared" si="13"/>
        <v>38</v>
      </c>
      <c r="B48" s="46">
        <v>99474.237635022466</v>
      </c>
      <c r="C48" s="50">
        <f t="shared" si="9"/>
        <v>99474.237635022466</v>
      </c>
      <c r="D48" s="31">
        <f t="shared" si="10"/>
        <v>0</v>
      </c>
      <c r="E48" s="52">
        <f t="shared" si="11"/>
        <v>51.330892711805063</v>
      </c>
      <c r="F48" s="34">
        <f t="shared" si="12"/>
        <v>5.1602197646531851E-4</v>
      </c>
      <c r="M48" s="11">
        <f t="shared" si="8"/>
        <v>28</v>
      </c>
      <c r="N48" s="13">
        <f t="shared" si="5"/>
        <v>0.8387873809729337</v>
      </c>
      <c r="O48" s="13">
        <f t="shared" si="6"/>
        <v>0.75683556843464528</v>
      </c>
      <c r="P48" s="13">
        <f t="shared" si="7"/>
        <v>0.63482412427445767</v>
      </c>
    </row>
    <row r="49" spans="1:16" x14ac:dyDescent="0.2">
      <c r="A49" s="27">
        <f t="shared" si="13"/>
        <v>39</v>
      </c>
      <c r="B49" s="46">
        <v>99422.906742310661</v>
      </c>
      <c r="C49" s="50">
        <f t="shared" si="9"/>
        <v>99422.906742310661</v>
      </c>
      <c r="D49" s="31">
        <f t="shared" si="10"/>
        <v>0</v>
      </c>
      <c r="E49" s="52">
        <f t="shared" si="11"/>
        <v>57.369821266140207</v>
      </c>
      <c r="F49" s="34">
        <f t="shared" si="12"/>
        <v>5.7702820351887541E-4</v>
      </c>
      <c r="M49" s="11">
        <f t="shared" si="8"/>
        <v>29</v>
      </c>
      <c r="N49" s="13">
        <f t="shared" si="5"/>
        <v>0.82010000688989915</v>
      </c>
      <c r="O49" s="13">
        <f t="shared" si="6"/>
        <v>0.74934214696499535</v>
      </c>
      <c r="P49" s="13">
        <f t="shared" si="7"/>
        <v>0.61453549988888445</v>
      </c>
    </row>
    <row r="50" spans="1:16" x14ac:dyDescent="0.2">
      <c r="A50" s="27">
        <f t="shared" si="13"/>
        <v>40</v>
      </c>
      <c r="B50" s="46">
        <v>99365.536921044521</v>
      </c>
      <c r="C50" s="50">
        <f t="shared" si="9"/>
        <v>99365.536921044521</v>
      </c>
      <c r="D50" s="31">
        <f t="shared" si="10"/>
        <v>0</v>
      </c>
      <c r="E50" s="52">
        <f t="shared" si="11"/>
        <v>63.40874982047535</v>
      </c>
      <c r="F50" s="34">
        <f t="shared" si="12"/>
        <v>6.3813623702209453E-4</v>
      </c>
      <c r="M50" s="11">
        <f t="shared" si="8"/>
        <v>30</v>
      </c>
      <c r="N50" s="13">
        <f t="shared" si="5"/>
        <v>0.79937381811041119</v>
      </c>
      <c r="O50" s="13">
        <f t="shared" si="6"/>
        <v>0.74192291778712405</v>
      </c>
      <c r="P50" s="13">
        <f t="shared" si="7"/>
        <v>0.5930737555351101</v>
      </c>
    </row>
    <row r="51" spans="1:16" x14ac:dyDescent="0.2">
      <c r="A51" s="27">
        <f t="shared" si="13"/>
        <v>41</v>
      </c>
      <c r="B51" s="46">
        <v>99302.128171224045</v>
      </c>
      <c r="C51" s="50">
        <f t="shared" si="9"/>
        <v>99302.128171224045</v>
      </c>
      <c r="D51" s="31">
        <f t="shared" si="10"/>
        <v>0</v>
      </c>
      <c r="E51" s="52">
        <f t="shared" si="11"/>
        <v>69.447678374795942</v>
      </c>
      <c r="F51" s="34">
        <f t="shared" si="12"/>
        <v>6.9935740203925069E-4</v>
      </c>
      <c r="M51" s="11">
        <f t="shared" si="8"/>
        <v>31</v>
      </c>
      <c r="N51" s="13">
        <f t="shared" si="5"/>
        <v>0.77639753850012261</v>
      </c>
      <c r="O51" s="13">
        <f t="shared" si="6"/>
        <v>0.73457714632388516</v>
      </c>
      <c r="P51" s="13">
        <f t="shared" si="7"/>
        <v>0.5703238882443088</v>
      </c>
    </row>
    <row r="52" spans="1:16" x14ac:dyDescent="0.2">
      <c r="A52" s="27">
        <f t="shared" si="13"/>
        <v>42</v>
      </c>
      <c r="B52" s="46">
        <v>99232.680492849249</v>
      </c>
      <c r="C52" s="50">
        <f t="shared" si="9"/>
        <v>99232.680492849249</v>
      </c>
      <c r="D52" s="31">
        <f t="shared" si="10"/>
        <v>0</v>
      </c>
      <c r="E52" s="52">
        <f t="shared" si="11"/>
        <v>75.486606929131085</v>
      </c>
      <c r="F52" s="34">
        <f t="shared" si="12"/>
        <v>7.6070309251165182E-4</v>
      </c>
      <c r="M52" s="11">
        <f t="shared" si="8"/>
        <v>32</v>
      </c>
      <c r="N52" s="13">
        <f t="shared" ref="N52:N83" si="14">npx($I$1,M52)</f>
        <v>0.75095989192468604</v>
      </c>
      <c r="O52" s="13">
        <f t="shared" ref="O52:O82" si="15">techDF(M52,$I$4)</f>
        <v>0.72730410527117351</v>
      </c>
      <c r="P52" s="13">
        <f t="shared" ref="P52:P82" si="16">nEx($I$1,M52,$I$4)</f>
        <v>0.54617621229082092</v>
      </c>
    </row>
    <row r="53" spans="1:16" x14ac:dyDescent="0.2">
      <c r="A53" s="27">
        <f t="shared" si="13"/>
        <v>43</v>
      </c>
      <c r="B53" s="46">
        <v>99157.193885920118</v>
      </c>
      <c r="C53" s="50">
        <f t="shared" si="9"/>
        <v>99157.193885920118</v>
      </c>
      <c r="D53" s="31">
        <f t="shared" si="10"/>
        <v>0</v>
      </c>
      <c r="E53" s="52">
        <f t="shared" si="11"/>
        <v>83.538511668230058</v>
      </c>
      <c r="F53" s="34">
        <f t="shared" si="12"/>
        <v>8.4248563714238141E-4</v>
      </c>
      <c r="M53" s="11">
        <f t="shared" ref="M53:M82" si="17">M52+1</f>
        <v>33</v>
      </c>
      <c r="N53" s="13">
        <f t="shared" si="14"/>
        <v>0.72280734702288418</v>
      </c>
      <c r="O53" s="13">
        <f t="shared" si="15"/>
        <v>0.72010307452591438</v>
      </c>
      <c r="P53" s="13">
        <f t="shared" si="16"/>
        <v>0.52049579288109837</v>
      </c>
    </row>
    <row r="54" spans="1:16" x14ac:dyDescent="0.2">
      <c r="A54" s="27">
        <f t="shared" si="13"/>
        <v>44</v>
      </c>
      <c r="B54" s="46">
        <v>99073.655374251888</v>
      </c>
      <c r="C54" s="50">
        <f t="shared" si="9"/>
        <v>99073.655374251888</v>
      </c>
      <c r="D54" s="31">
        <f t="shared" si="10"/>
        <v>0</v>
      </c>
      <c r="E54" s="52">
        <f t="shared" si="11"/>
        <v>92.596904499732773</v>
      </c>
      <c r="F54" s="34">
        <f t="shared" si="12"/>
        <v>9.3462691115965069E-4</v>
      </c>
      <c r="M54" s="11">
        <f t="shared" si="17"/>
        <v>34</v>
      </c>
      <c r="N54" s="13">
        <f t="shared" si="14"/>
        <v>0.69169693624021766</v>
      </c>
      <c r="O54" s="13">
        <f t="shared" si="15"/>
        <v>0.71297334111476673</v>
      </c>
      <c r="P54" s="13">
        <f t="shared" si="16"/>
        <v>0.49316147567003576</v>
      </c>
    </row>
    <row r="55" spans="1:16" x14ac:dyDescent="0.2">
      <c r="A55" s="27">
        <f t="shared" si="13"/>
        <v>45</v>
      </c>
      <c r="B55" s="46">
        <v>98981.058469752155</v>
      </c>
      <c r="C55" s="50">
        <f t="shared" si="9"/>
        <v>98981.058469752155</v>
      </c>
      <c r="D55" s="31">
        <f t="shared" si="10"/>
        <v>0</v>
      </c>
      <c r="E55" s="52">
        <f t="shared" si="11"/>
        <v>101.65529733122094</v>
      </c>
      <c r="F55" s="34">
        <f t="shared" si="12"/>
        <v>1.0270176830073606E-3</v>
      </c>
      <c r="M55" s="11">
        <f t="shared" si="17"/>
        <v>35</v>
      </c>
      <c r="N55" s="13">
        <f t="shared" si="14"/>
        <v>0.65741738344233891</v>
      </c>
      <c r="O55" s="13">
        <f t="shared" si="15"/>
        <v>0.70591419912353137</v>
      </c>
      <c r="P55" s="13">
        <f t="shared" si="16"/>
        <v>0.4640802657225862</v>
      </c>
    </row>
    <row r="56" spans="1:16" x14ac:dyDescent="0.2">
      <c r="A56" s="27">
        <f t="shared" si="13"/>
        <v>46</v>
      </c>
      <c r="B56" s="46">
        <v>98879.403172420934</v>
      </c>
      <c r="C56" s="50">
        <f t="shared" si="9"/>
        <v>98879.403172420934</v>
      </c>
      <c r="D56" s="31">
        <f t="shared" si="10"/>
        <v>0</v>
      </c>
      <c r="E56" s="52">
        <f t="shared" si="11"/>
        <v>112.72666634750203</v>
      </c>
      <c r="F56" s="34">
        <f t="shared" si="12"/>
        <v>1.1400419372569932E-3</v>
      </c>
      <c r="M56" s="11">
        <f t="shared" si="17"/>
        <v>36</v>
      </c>
      <c r="N56" s="13">
        <f t="shared" si="14"/>
        <v>0.61988417817550889</v>
      </c>
      <c r="O56" s="13">
        <f t="shared" si="15"/>
        <v>0.69892494962725871</v>
      </c>
      <c r="P56" s="13">
        <f t="shared" si="16"/>
        <v>0.43325251800605219</v>
      </c>
    </row>
    <row r="57" spans="1:16" x14ac:dyDescent="0.2">
      <c r="A57" s="27">
        <f t="shared" si="13"/>
        <v>47</v>
      </c>
      <c r="B57" s="46">
        <v>98766.676506073432</v>
      </c>
      <c r="C57" s="50">
        <f t="shared" si="9"/>
        <v>98766.676506073432</v>
      </c>
      <c r="D57" s="31">
        <f t="shared" si="10"/>
        <v>0</v>
      </c>
      <c r="E57" s="52">
        <f t="shared" si="11"/>
        <v>123.79803536378313</v>
      </c>
      <c r="F57" s="34">
        <f t="shared" si="12"/>
        <v>1.2534393151942341E-3</v>
      </c>
      <c r="M57" s="11">
        <f t="shared" si="17"/>
        <v>37</v>
      </c>
      <c r="N57" s="13">
        <f t="shared" si="14"/>
        <v>0.57919239470018413</v>
      </c>
      <c r="O57" s="13">
        <f t="shared" si="15"/>
        <v>0.69200490062104825</v>
      </c>
      <c r="P57" s="13">
        <f t="shared" si="16"/>
        <v>0.40080397553496788</v>
      </c>
    </row>
    <row r="58" spans="1:16" x14ac:dyDescent="0.2">
      <c r="A58" s="27">
        <f t="shared" si="13"/>
        <v>48</v>
      </c>
      <c r="B58" s="46">
        <v>98642.878470709649</v>
      </c>
      <c r="C58" s="50">
        <f t="shared" si="9"/>
        <v>98642.878470709649</v>
      </c>
      <c r="D58" s="31">
        <f t="shared" si="10"/>
        <v>0</v>
      </c>
      <c r="E58" s="52">
        <f t="shared" si="11"/>
        <v>135.87589247242431</v>
      </c>
      <c r="F58" s="34">
        <f t="shared" si="12"/>
        <v>1.3774526309344307E-3</v>
      </c>
      <c r="M58" s="11">
        <f t="shared" si="17"/>
        <v>38</v>
      </c>
      <c r="N58" s="13">
        <f t="shared" si="14"/>
        <v>0.53564838341116827</v>
      </c>
      <c r="O58" s="13">
        <f t="shared" si="15"/>
        <v>0.68515336695153295</v>
      </c>
      <c r="P58" s="13">
        <f t="shared" si="16"/>
        <v>0.3670012933963076</v>
      </c>
    </row>
    <row r="59" spans="1:16" x14ac:dyDescent="0.2">
      <c r="A59" s="27">
        <f t="shared" si="13"/>
        <v>49</v>
      </c>
      <c r="B59" s="46">
        <v>98507.002578237225</v>
      </c>
      <c r="C59" s="50">
        <f t="shared" si="9"/>
        <v>98507.002578237225</v>
      </c>
      <c r="D59" s="31">
        <f t="shared" si="10"/>
        <v>0</v>
      </c>
      <c r="E59" s="52">
        <f t="shared" si="11"/>
        <v>148.96023767348379</v>
      </c>
      <c r="F59" s="34">
        <f t="shared" si="12"/>
        <v>1.5121791727971327E-3</v>
      </c>
      <c r="M59" s="11">
        <f t="shared" si="17"/>
        <v>39</v>
      </c>
      <c r="N59" s="13">
        <f t="shared" si="14"/>
        <v>0.48975920703089543</v>
      </c>
      <c r="O59" s="13">
        <f t="shared" si="15"/>
        <v>0.67836967024904249</v>
      </c>
      <c r="P59" s="13">
        <f t="shared" si="16"/>
        <v>0.33223779177498108</v>
      </c>
    </row>
    <row r="60" spans="1:16" x14ac:dyDescent="0.2">
      <c r="A60" s="27">
        <f t="shared" si="13"/>
        <v>50</v>
      </c>
      <c r="B60" s="46">
        <v>98358.042340563741</v>
      </c>
      <c r="C60" s="50">
        <f t="shared" si="9"/>
        <v>98358.042340563741</v>
      </c>
      <c r="D60" s="31">
        <f t="shared" si="10"/>
        <v>0</v>
      </c>
      <c r="E60" s="52">
        <f t="shared" si="11"/>
        <v>162.04458287454327</v>
      </c>
      <c r="F60" s="34">
        <f t="shared" si="12"/>
        <v>1.6474970324588762E-3</v>
      </c>
      <c r="M60" s="11">
        <f t="shared" si="17"/>
        <v>40</v>
      </c>
      <c r="N60" s="13">
        <f t="shared" si="14"/>
        <v>0.44228545964301652</v>
      </c>
      <c r="O60" s="13">
        <f t="shared" si="15"/>
        <v>0.67165313886043809</v>
      </c>
      <c r="P60" s="13">
        <f t="shared" si="16"/>
        <v>0.29706241724156368</v>
      </c>
    </row>
    <row r="61" spans="1:16" x14ac:dyDescent="0.2">
      <c r="A61" s="27">
        <f t="shared" si="13"/>
        <v>51</v>
      </c>
      <c r="B61" s="46">
        <v>98195.997757689198</v>
      </c>
      <c r="C61" s="50">
        <f t="shared" si="9"/>
        <v>98195.997757689198</v>
      </c>
      <c r="D61" s="31">
        <f t="shared" si="10"/>
        <v>0</v>
      </c>
      <c r="E61" s="52">
        <f t="shared" si="11"/>
        <v>191.57833770380239</v>
      </c>
      <c r="F61" s="34">
        <f t="shared" si="12"/>
        <v>1.9509790834504855E-3</v>
      </c>
      <c r="M61" s="11">
        <f t="shared" si="17"/>
        <v>41</v>
      </c>
      <c r="N61" s="13">
        <f t="shared" si="14"/>
        <v>0.39423070288568196</v>
      </c>
      <c r="O61" s="13">
        <f t="shared" si="15"/>
        <v>0.66500310778261196</v>
      </c>
      <c r="P61" s="13">
        <f t="shared" si="16"/>
        <v>0.26216464260230204</v>
      </c>
    </row>
    <row r="62" spans="1:16" x14ac:dyDescent="0.2">
      <c r="A62" s="27">
        <f t="shared" si="13"/>
        <v>52</v>
      </c>
      <c r="B62" s="46">
        <v>98004.419419985396</v>
      </c>
      <c r="C62" s="50">
        <f t="shared" si="9"/>
        <v>98004.419419985396</v>
      </c>
      <c r="D62" s="31">
        <f t="shared" si="10"/>
        <v>0</v>
      </c>
      <c r="E62" s="52">
        <f t="shared" si="11"/>
        <v>205.6946362714516</v>
      </c>
      <c r="F62" s="34">
        <f t="shared" si="12"/>
        <v>2.098830210808898E-3</v>
      </c>
      <c r="M62" s="11">
        <f t="shared" si="17"/>
        <v>42</v>
      </c>
      <c r="N62" s="13">
        <f t="shared" si="14"/>
        <v>0.34195648762842323</v>
      </c>
      <c r="O62" s="13">
        <f t="shared" si="15"/>
        <v>0.65841891859664547</v>
      </c>
      <c r="P62" s="13">
        <f t="shared" si="16"/>
        <v>0.2251506207914136</v>
      </c>
    </row>
    <row r="63" spans="1:16" x14ac:dyDescent="0.2">
      <c r="A63" s="27">
        <f t="shared" si="13"/>
        <v>53</v>
      </c>
      <c r="B63" s="46">
        <v>97798.724783713944</v>
      </c>
      <c r="C63" s="50">
        <f t="shared" si="9"/>
        <v>97798.724783713944</v>
      </c>
      <c r="D63" s="31">
        <f t="shared" si="10"/>
        <v>0</v>
      </c>
      <c r="E63" s="52">
        <f t="shared" si="11"/>
        <v>218.80262779856275</v>
      </c>
      <c r="F63" s="34">
        <f t="shared" si="12"/>
        <v>2.2372748548864425E-3</v>
      </c>
      <c r="M63" s="11">
        <f t="shared" si="17"/>
        <v>43</v>
      </c>
      <c r="N63" s="13">
        <f t="shared" si="14"/>
        <v>0.2922167069803745</v>
      </c>
      <c r="O63" s="13">
        <f t="shared" si="15"/>
        <v>0.65189991940261938</v>
      </c>
      <c r="P63" s="13">
        <f t="shared" si="16"/>
        <v>0.19049604772860498</v>
      </c>
    </row>
    <row r="64" spans="1:16" x14ac:dyDescent="0.2">
      <c r="A64" s="27">
        <f t="shared" si="13"/>
        <v>54</v>
      </c>
      <c r="B64" s="46">
        <v>97579.922155915381</v>
      </c>
      <c r="C64" s="50">
        <f t="shared" si="9"/>
        <v>97579.922155915381</v>
      </c>
      <c r="D64" s="31">
        <f t="shared" si="10"/>
        <v>0</v>
      </c>
      <c r="E64" s="52">
        <f t="shared" si="11"/>
        <v>231.91061932565935</v>
      </c>
      <c r="F64" s="34">
        <f t="shared" si="12"/>
        <v>2.3766223030502872E-3</v>
      </c>
      <c r="M64" s="11">
        <f t="shared" si="17"/>
        <v>44</v>
      </c>
      <c r="N64" s="13">
        <f t="shared" si="14"/>
        <v>0.24556389170942025</v>
      </c>
      <c r="O64" s="13">
        <f t="shared" si="15"/>
        <v>0.64544546475506859</v>
      </c>
      <c r="P64" s="13">
        <f t="shared" si="16"/>
        <v>0.15849810021145008</v>
      </c>
    </row>
    <row r="65" spans="1:16" x14ac:dyDescent="0.2">
      <c r="A65" s="27">
        <f t="shared" si="13"/>
        <v>55</v>
      </c>
      <c r="B65" s="46">
        <v>97348.011536589722</v>
      </c>
      <c r="C65" s="50">
        <f t="shared" si="9"/>
        <v>97348.011536589722</v>
      </c>
      <c r="D65" s="31">
        <f t="shared" si="10"/>
        <v>0</v>
      </c>
      <c r="E65" s="52">
        <f t="shared" si="11"/>
        <v>244.0103038122179</v>
      </c>
      <c r="F65" s="34">
        <f t="shared" si="12"/>
        <v>2.5065771756468077E-3</v>
      </c>
      <c r="M65" s="11">
        <f t="shared" si="17"/>
        <v>45</v>
      </c>
      <c r="N65" s="13">
        <f t="shared" si="14"/>
        <v>0.19834454788249614</v>
      </c>
      <c r="O65" s="13">
        <f t="shared" si="15"/>
        <v>0.6390549155990779</v>
      </c>
      <c r="P65" s="13">
        <f t="shared" si="16"/>
        <v>0.12675305830658584</v>
      </c>
    </row>
    <row r="66" spans="1:16" x14ac:dyDescent="0.2">
      <c r="A66" s="27">
        <f t="shared" si="13"/>
        <v>56</v>
      </c>
      <c r="B66" s="46">
        <v>97104.001232777504</v>
      </c>
      <c r="C66" s="50">
        <f t="shared" si="9"/>
        <v>97104.001232777504</v>
      </c>
      <c r="D66" s="31">
        <f t="shared" si="10"/>
        <v>0</v>
      </c>
      <c r="E66" s="52">
        <f t="shared" si="11"/>
        <v>257.1182953393145</v>
      </c>
      <c r="F66" s="34">
        <f t="shared" si="12"/>
        <v>2.6478650938693152E-3</v>
      </c>
      <c r="M66" s="11">
        <f t="shared" si="17"/>
        <v>46</v>
      </c>
      <c r="N66" s="13">
        <f t="shared" si="14"/>
        <v>0.15657246950630296</v>
      </c>
      <c r="O66" s="13">
        <f t="shared" si="15"/>
        <v>0.63272763920700781</v>
      </c>
      <c r="P66" s="13">
        <f t="shared" si="16"/>
        <v>9.9067728995534288E-2</v>
      </c>
    </row>
    <row r="67" spans="1:16" x14ac:dyDescent="0.2">
      <c r="A67" s="27">
        <f t="shared" si="13"/>
        <v>57</v>
      </c>
      <c r="B67" s="46">
        <v>96846.882937438189</v>
      </c>
      <c r="C67" s="50">
        <f t="shared" si="9"/>
        <v>96846.882937438189</v>
      </c>
      <c r="D67" s="31">
        <f t="shared" si="10"/>
        <v>0</v>
      </c>
      <c r="E67" s="52">
        <f t="shared" si="11"/>
        <v>273.25120798806893</v>
      </c>
      <c r="F67" s="34">
        <f t="shared" si="12"/>
        <v>2.8214765380170843E-3</v>
      </c>
      <c r="M67" s="11">
        <f t="shared" si="17"/>
        <v>47</v>
      </c>
      <c r="N67" s="13">
        <f t="shared" si="14"/>
        <v>0.12055351907941111</v>
      </c>
      <c r="O67" s="13">
        <f t="shared" si="15"/>
        <v>0.62646300911584929</v>
      </c>
      <c r="P67" s="13">
        <f t="shared" si="16"/>
        <v>7.5522320321992839E-2</v>
      </c>
    </row>
    <row r="68" spans="1:16" x14ac:dyDescent="0.2">
      <c r="A68" s="27">
        <f t="shared" si="13"/>
        <v>58</v>
      </c>
      <c r="B68" s="46">
        <v>96573.63172945012</v>
      </c>
      <c r="C68" s="50">
        <f t="shared" si="9"/>
        <v>96573.63172945012</v>
      </c>
      <c r="D68" s="31">
        <f t="shared" si="10"/>
        <v>0</v>
      </c>
      <c r="E68" s="52">
        <f t="shared" si="11"/>
        <v>291.40073471789947</v>
      </c>
      <c r="F68" s="34">
        <f t="shared" si="12"/>
        <v>3.0173943911962963E-3</v>
      </c>
      <c r="M68" s="11">
        <f t="shared" si="17"/>
        <v>48</v>
      </c>
      <c r="N68" s="13">
        <f t="shared" si="14"/>
        <v>9.0360521006242173E-2</v>
      </c>
      <c r="O68" s="13">
        <f t="shared" si="15"/>
        <v>0.62026040506519731</v>
      </c>
      <c r="P68" s="13">
        <f t="shared" si="16"/>
        <v>5.6047053361234042E-2</v>
      </c>
    </row>
    <row r="69" spans="1:16" x14ac:dyDescent="0.2">
      <c r="A69" s="27">
        <f t="shared" si="13"/>
        <v>59</v>
      </c>
      <c r="B69" s="46">
        <v>96282.230994732221</v>
      </c>
      <c r="C69" s="50">
        <f t="shared" si="9"/>
        <v>96282.230994732221</v>
      </c>
      <c r="D69" s="31">
        <f t="shared" si="10"/>
        <v>0</v>
      </c>
      <c r="E69" s="52">
        <f t="shared" si="11"/>
        <v>311.56687552883523</v>
      </c>
      <c r="F69" s="34">
        <f t="shared" si="12"/>
        <v>3.23597482432539E-3</v>
      </c>
      <c r="M69" s="11">
        <f t="shared" si="17"/>
        <v>49</v>
      </c>
      <c r="N69" s="13">
        <f t="shared" si="14"/>
        <v>6.5775002073531541E-2</v>
      </c>
      <c r="O69" s="13">
        <f t="shared" si="15"/>
        <v>0.61411921293583893</v>
      </c>
      <c r="P69" s="13">
        <f t="shared" si="16"/>
        <v>4.0393692504250366E-2</v>
      </c>
    </row>
    <row r="70" spans="1:16" x14ac:dyDescent="0.2">
      <c r="A70" s="27">
        <f t="shared" si="13"/>
        <v>60</v>
      </c>
      <c r="B70" s="46">
        <v>95970.664119203386</v>
      </c>
      <c r="C70" s="50">
        <f t="shared" si="9"/>
        <v>95970.664119203386</v>
      </c>
      <c r="D70" s="31">
        <f t="shared" si="10"/>
        <v>0</v>
      </c>
      <c r="E70" s="52">
        <f t="shared" si="11"/>
        <v>331.73301633975643</v>
      </c>
      <c r="F70" s="34">
        <f t="shared" si="12"/>
        <v>3.4566085312040459E-3</v>
      </c>
      <c r="M70" s="11">
        <f t="shared" si="17"/>
        <v>50</v>
      </c>
      <c r="N70" s="13">
        <f t="shared" si="14"/>
        <v>4.6389145616518593E-2</v>
      </c>
      <c r="O70" s="13">
        <f t="shared" si="15"/>
        <v>0.60803882468894932</v>
      </c>
      <c r="P70" s="13">
        <f t="shared" si="16"/>
        <v>2.8206401578992492E-2</v>
      </c>
    </row>
    <row r="71" spans="1:16" x14ac:dyDescent="0.2">
      <c r="A71" s="27">
        <f t="shared" si="13"/>
        <v>61</v>
      </c>
      <c r="B71" s="46">
        <v>95638.931102863629</v>
      </c>
      <c r="C71" s="50">
        <f t="shared" si="9"/>
        <v>95638.931102863629</v>
      </c>
      <c r="D71" s="31">
        <f t="shared" si="10"/>
        <v>0</v>
      </c>
      <c r="E71" s="52">
        <f t="shared" si="11"/>
        <v>374.45534447317186</v>
      </c>
      <c r="F71" s="34">
        <f t="shared" si="12"/>
        <v>3.9153024835715663E-3</v>
      </c>
      <c r="M71" s="11">
        <f t="shared" si="17"/>
        <v>51</v>
      </c>
      <c r="N71" s="13">
        <f t="shared" si="14"/>
        <v>3.1620356399831039E-2</v>
      </c>
      <c r="O71" s="13">
        <f t="shared" si="15"/>
        <v>0.60201863830589042</v>
      </c>
      <c r="P71" s="13">
        <f t="shared" si="16"/>
        <v>1.903604390257323E-2</v>
      </c>
    </row>
    <row r="72" spans="1:16" x14ac:dyDescent="0.2">
      <c r="A72" s="27">
        <f t="shared" si="13"/>
        <v>62</v>
      </c>
      <c r="B72" s="46">
        <v>95264.475758390457</v>
      </c>
      <c r="C72" s="50">
        <f t="shared" si="9"/>
        <v>95264.475758390457</v>
      </c>
      <c r="D72" s="31">
        <f t="shared" si="10"/>
        <v>0</v>
      </c>
      <c r="E72" s="52">
        <f t="shared" si="11"/>
        <v>394.69617390415806</v>
      </c>
      <c r="F72" s="34">
        <f t="shared" si="12"/>
        <v>4.1431621888644576E-3</v>
      </c>
      <c r="M72" s="11">
        <f t="shared" si="17"/>
        <v>52</v>
      </c>
      <c r="N72" s="13">
        <f t="shared" si="14"/>
        <v>2.0769520141022135E-2</v>
      </c>
      <c r="O72" s="13">
        <f t="shared" si="15"/>
        <v>0.59605805772860443</v>
      </c>
      <c r="P72" s="13">
        <f t="shared" si="16"/>
        <v>1.2379839835212784E-2</v>
      </c>
    </row>
    <row r="73" spans="1:16" x14ac:dyDescent="0.2">
      <c r="A73" s="27">
        <f t="shared" si="13"/>
        <v>63</v>
      </c>
      <c r="B73" s="46">
        <v>94869.779584486299</v>
      </c>
      <c r="C73" s="50">
        <f t="shared" si="9"/>
        <v>94869.779584486299</v>
      </c>
      <c r="D73" s="31">
        <f t="shared" si="10"/>
        <v>0</v>
      </c>
      <c r="E73" s="52">
        <f t="shared" si="11"/>
        <v>416.96108627824287</v>
      </c>
      <c r="F73" s="34">
        <f t="shared" si="12"/>
        <v>4.3950885951718494E-3</v>
      </c>
      <c r="M73" s="11">
        <f t="shared" si="17"/>
        <v>53</v>
      </c>
      <c r="N73" s="13">
        <f t="shared" si="14"/>
        <v>1.3108392795876524E-2</v>
      </c>
      <c r="O73" s="13">
        <f t="shared" si="15"/>
        <v>0.59015649280059845</v>
      </c>
      <c r="P73" s="13">
        <f t="shared" si="16"/>
        <v>7.7360031186671204E-3</v>
      </c>
    </row>
    <row r="74" spans="1:16" x14ac:dyDescent="0.2">
      <c r="A74" s="27">
        <f t="shared" si="13"/>
        <v>64</v>
      </c>
      <c r="B74" s="46">
        <v>94452.818498208057</v>
      </c>
      <c r="C74" s="50">
        <f t="shared" ref="C74:C105" si="18">lx(A74)</f>
        <v>94452.818498208057</v>
      </c>
      <c r="D74" s="31">
        <f t="shared" ref="D74:D105" si="19">(B74&lt;&gt;C74)*1</f>
        <v>0</v>
      </c>
      <c r="E74" s="52">
        <f t="shared" ref="E74:E105" si="20">dx(A74)</f>
        <v>442.26212306696107</v>
      </c>
      <c r="F74" s="34">
        <f t="shared" ref="F74:F105" si="21">qx(A74)</f>
        <v>4.6823602524402336E-3</v>
      </c>
      <c r="M74" s="11">
        <f t="shared" si="17"/>
        <v>54</v>
      </c>
      <c r="N74" s="13">
        <f t="shared" si="14"/>
        <v>7.9232952010631439E-3</v>
      </c>
      <c r="O74" s="13">
        <f t="shared" si="15"/>
        <v>0.58431335920851335</v>
      </c>
      <c r="P74" s="13">
        <f t="shared" si="16"/>
        <v>4.6296872349338991E-3</v>
      </c>
    </row>
    <row r="75" spans="1:16" x14ac:dyDescent="0.2">
      <c r="A75" s="27">
        <f t="shared" ref="A75:A106" si="22">A74+1</f>
        <v>65</v>
      </c>
      <c r="B75" s="46">
        <v>94010.556375141095</v>
      </c>
      <c r="C75" s="50">
        <f t="shared" si="18"/>
        <v>94010.556375141095</v>
      </c>
      <c r="D75" s="31">
        <f t="shared" si="19"/>
        <v>0</v>
      </c>
      <c r="E75" s="52">
        <f t="shared" si="20"/>
        <v>472.62336721344036</v>
      </c>
      <c r="F75" s="34">
        <f t="shared" si="21"/>
        <v>5.0273435817939126E-3</v>
      </c>
      <c r="M75" s="11">
        <f t="shared" si="17"/>
        <v>55</v>
      </c>
      <c r="N75" s="13">
        <f t="shared" si="14"/>
        <v>4.5733725976724758E-3</v>
      </c>
      <c r="O75" s="13">
        <f t="shared" si="15"/>
        <v>0.57852807842427056</v>
      </c>
      <c r="P75" s="13">
        <f t="shared" si="16"/>
        <v>2.645824460849672E-3</v>
      </c>
    </row>
    <row r="76" spans="1:16" x14ac:dyDescent="0.2">
      <c r="A76" s="27">
        <f t="shared" si="22"/>
        <v>66</v>
      </c>
      <c r="B76" s="46">
        <v>93537.933007927655</v>
      </c>
      <c r="C76" s="50">
        <f t="shared" si="18"/>
        <v>93537.933007927655</v>
      </c>
      <c r="D76" s="31">
        <f t="shared" si="19"/>
        <v>0</v>
      </c>
      <c r="E76" s="52">
        <f t="shared" si="20"/>
        <v>508.04481871765165</v>
      </c>
      <c r="F76" s="34">
        <f t="shared" si="21"/>
        <v>5.431430889910654E-3</v>
      </c>
      <c r="M76" s="11">
        <f t="shared" si="17"/>
        <v>56</v>
      </c>
      <c r="N76" s="13">
        <f t="shared" si="14"/>
        <v>2.5051595121008464E-3</v>
      </c>
      <c r="O76" s="13">
        <f t="shared" si="15"/>
        <v>0.57280007764779262</v>
      </c>
      <c r="P76" s="13">
        <f t="shared" si="16"/>
        <v>1.434955563051471E-3</v>
      </c>
    </row>
    <row r="77" spans="1:16" x14ac:dyDescent="0.2">
      <c r="A77" s="27">
        <f t="shared" si="22"/>
        <v>67</v>
      </c>
      <c r="B77" s="46">
        <v>93029.888189210003</v>
      </c>
      <c r="C77" s="50">
        <f t="shared" si="18"/>
        <v>93029.888189210003</v>
      </c>
      <c r="D77" s="31">
        <f t="shared" si="19"/>
        <v>0</v>
      </c>
      <c r="E77" s="52">
        <f t="shared" si="20"/>
        <v>547.51443610807473</v>
      </c>
      <c r="F77" s="34">
        <f t="shared" si="21"/>
        <v>5.8853605735234857E-3</v>
      </c>
      <c r="M77" s="11">
        <f t="shared" si="17"/>
        <v>57</v>
      </c>
      <c r="N77" s="13">
        <f t="shared" si="14"/>
        <v>1.2962743987033451E-3</v>
      </c>
      <c r="O77" s="13">
        <f t="shared" si="15"/>
        <v>0.5671287897502898</v>
      </c>
      <c r="P77" s="13">
        <f t="shared" si="16"/>
        <v>7.3515453092091272E-4</v>
      </c>
    </row>
    <row r="78" spans="1:16" x14ac:dyDescent="0.2">
      <c r="A78" s="27">
        <f t="shared" si="22"/>
        <v>68</v>
      </c>
      <c r="B78" s="46">
        <v>92482.373753101929</v>
      </c>
      <c r="C78" s="50">
        <f t="shared" si="18"/>
        <v>92482.373753101929</v>
      </c>
      <c r="D78" s="31">
        <f t="shared" si="19"/>
        <v>0</v>
      </c>
      <c r="E78" s="52">
        <f t="shared" si="20"/>
        <v>644.74974487828149</v>
      </c>
      <c r="F78" s="34">
        <f t="shared" si="21"/>
        <v>6.9715959778406545E-3</v>
      </c>
      <c r="M78" s="11">
        <f t="shared" si="17"/>
        <v>58</v>
      </c>
      <c r="N78" s="13">
        <f t="shared" si="14"/>
        <v>6.4085475890951894E-4</v>
      </c>
      <c r="O78" s="13">
        <f t="shared" si="15"/>
        <v>0.56151365321810864</v>
      </c>
      <c r="P78" s="13">
        <f t="shared" si="16"/>
        <v>3.5984869685749425E-4</v>
      </c>
    </row>
    <row r="79" spans="1:16" x14ac:dyDescent="0.2">
      <c r="A79" s="27">
        <f t="shared" si="22"/>
        <v>69</v>
      </c>
      <c r="B79" s="46">
        <v>91837.624008223647</v>
      </c>
      <c r="C79" s="50">
        <f t="shared" si="18"/>
        <v>91837.624008223647</v>
      </c>
      <c r="D79" s="31">
        <f t="shared" si="19"/>
        <v>0</v>
      </c>
      <c r="E79" s="52">
        <f t="shared" si="20"/>
        <v>700.77065478081931</v>
      </c>
      <c r="F79" s="34">
        <f t="shared" si="21"/>
        <v>7.6305399050618783E-3</v>
      </c>
      <c r="M79" s="11">
        <f t="shared" si="17"/>
        <v>59</v>
      </c>
      <c r="N79" s="13">
        <f t="shared" si="14"/>
        <v>2.9129761768614495E-4</v>
      </c>
      <c r="O79" s="13">
        <f t="shared" si="15"/>
        <v>0.5559541120971373</v>
      </c>
      <c r="P79" s="13">
        <f t="shared" si="16"/>
        <v>1.6194810839671207E-4</v>
      </c>
    </row>
    <row r="80" spans="1:16" x14ac:dyDescent="0.2">
      <c r="A80" s="27">
        <f t="shared" si="22"/>
        <v>70</v>
      </c>
      <c r="B80" s="46">
        <v>91136.853353442828</v>
      </c>
      <c r="C80" s="50">
        <f t="shared" si="18"/>
        <v>91136.853353442828</v>
      </c>
      <c r="D80" s="31">
        <f t="shared" si="19"/>
        <v>0</v>
      </c>
      <c r="E80" s="52">
        <f t="shared" si="20"/>
        <v>763.92149867094122</v>
      </c>
      <c r="F80" s="34">
        <f t="shared" si="21"/>
        <v>8.3821359917742103E-3</v>
      </c>
      <c r="M80" s="11">
        <f t="shared" si="17"/>
        <v>60</v>
      </c>
      <c r="N80" s="13">
        <f t="shared" si="14"/>
        <v>1.3108392795876521E-4</v>
      </c>
      <c r="O80" s="13">
        <f t="shared" si="15"/>
        <v>0.55044961593775965</v>
      </c>
      <c r="P80" s="13">
        <f t="shared" si="16"/>
        <v>7.2155097800515261E-5</v>
      </c>
    </row>
    <row r="81" spans="1:16" x14ac:dyDescent="0.2">
      <c r="A81" s="27">
        <f t="shared" si="22"/>
        <v>71</v>
      </c>
      <c r="B81" s="46">
        <v>90372.931854771887</v>
      </c>
      <c r="C81" s="50">
        <f t="shared" si="18"/>
        <v>90372.931854771887</v>
      </c>
      <c r="D81" s="31">
        <f t="shared" si="19"/>
        <v>0</v>
      </c>
      <c r="E81" s="52">
        <f t="shared" si="20"/>
        <v>834.20227654867631</v>
      </c>
      <c r="F81" s="34">
        <f t="shared" si="21"/>
        <v>9.2306651939679067E-3</v>
      </c>
      <c r="M81" s="11">
        <f t="shared" si="17"/>
        <v>61</v>
      </c>
      <c r="N81" s="13">
        <f t="shared" si="14"/>
        <v>5.8259523537228983E-5</v>
      </c>
      <c r="O81" s="13">
        <f t="shared" si="15"/>
        <v>0.54499961974035616</v>
      </c>
      <c r="P81" s="13">
        <f t="shared" si="16"/>
        <v>3.1751418174044127E-5</v>
      </c>
    </row>
    <row r="82" spans="1:16" x14ac:dyDescent="0.2">
      <c r="A82" s="27">
        <f t="shared" si="22"/>
        <v>72</v>
      </c>
      <c r="B82" s="46">
        <v>89538.72957822321</v>
      </c>
      <c r="C82" s="50">
        <f t="shared" si="18"/>
        <v>89538.72957822321</v>
      </c>
      <c r="D82" s="31">
        <f t="shared" si="19"/>
        <v>0</v>
      </c>
      <c r="E82" s="52">
        <f t="shared" si="20"/>
        <v>913.65011241045431</v>
      </c>
      <c r="F82" s="34">
        <f t="shared" si="21"/>
        <v>1.0203965554506415E-2</v>
      </c>
      <c r="M82" s="11">
        <f t="shared" si="17"/>
        <v>62</v>
      </c>
      <c r="N82" s="13">
        <f t="shared" si="14"/>
        <v>1.4564880884307246E-5</v>
      </c>
      <c r="O82" s="13">
        <f t="shared" si="15"/>
        <v>0.53960358390134266</v>
      </c>
      <c r="P82" s="13">
        <f t="shared" si="16"/>
        <v>7.8592619242683466E-6</v>
      </c>
    </row>
    <row r="83" spans="1:16" x14ac:dyDescent="0.2">
      <c r="A83" s="27">
        <f t="shared" si="22"/>
        <v>73</v>
      </c>
      <c r="B83" s="46">
        <v>88625.079465812756</v>
      </c>
      <c r="C83" s="50">
        <f t="shared" si="18"/>
        <v>88625.079465812756</v>
      </c>
      <c r="D83" s="31">
        <f t="shared" si="19"/>
        <v>0</v>
      </c>
      <c r="E83" s="52">
        <f t="shared" si="20"/>
        <v>1004.3021302527486</v>
      </c>
      <c r="F83" s="34">
        <f t="shared" si="21"/>
        <v>1.1332030801057385E-2</v>
      </c>
    </row>
    <row r="84" spans="1:16" x14ac:dyDescent="0.2">
      <c r="A84" s="27">
        <f t="shared" si="22"/>
        <v>74</v>
      </c>
      <c r="B84" s="46">
        <v>87620.777335560007</v>
      </c>
      <c r="C84" s="50">
        <f t="shared" si="18"/>
        <v>87620.777335560007</v>
      </c>
      <c r="D84" s="31">
        <f t="shared" si="19"/>
        <v>0</v>
      </c>
      <c r="E84" s="52">
        <f t="shared" si="20"/>
        <v>1103.1026440808637</v>
      </c>
      <c r="F84" s="34">
        <f t="shared" si="21"/>
        <v>1.2589509904212875E-2</v>
      </c>
    </row>
    <row r="85" spans="1:16" x14ac:dyDescent="0.2">
      <c r="A85" s="27">
        <f t="shared" si="22"/>
        <v>75</v>
      </c>
      <c r="B85" s="46">
        <v>86517.674691479144</v>
      </c>
      <c r="C85" s="50">
        <f t="shared" si="18"/>
        <v>86517.674691479144</v>
      </c>
      <c r="D85" s="31">
        <f t="shared" si="19"/>
        <v>0</v>
      </c>
      <c r="E85" s="52">
        <f t="shared" si="20"/>
        <v>1212.0887778912438</v>
      </c>
      <c r="F85" s="34">
        <f t="shared" si="21"/>
        <v>1.4009724396934337E-2</v>
      </c>
    </row>
    <row r="86" spans="1:16" x14ac:dyDescent="0.2">
      <c r="A86" s="27">
        <f t="shared" si="22"/>
        <v>76</v>
      </c>
      <c r="B86" s="46">
        <v>85305.5859135879</v>
      </c>
      <c r="C86" s="50">
        <f t="shared" si="18"/>
        <v>85305.5859135879</v>
      </c>
      <c r="D86" s="31">
        <f t="shared" si="19"/>
        <v>0</v>
      </c>
      <c r="E86" s="52">
        <f t="shared" si="20"/>
        <v>1333.2976556803769</v>
      </c>
      <c r="F86" s="34">
        <f t="shared" si="21"/>
        <v>1.5629664123413548E-2</v>
      </c>
    </row>
    <row r="87" spans="1:16" x14ac:dyDescent="0.2">
      <c r="A87" s="27">
        <f t="shared" si="22"/>
        <v>77</v>
      </c>
      <c r="B87" s="46">
        <v>83972.288257907523</v>
      </c>
      <c r="C87" s="50">
        <f t="shared" si="18"/>
        <v>83972.288257907523</v>
      </c>
      <c r="D87" s="31">
        <f t="shared" si="19"/>
        <v>0</v>
      </c>
      <c r="E87" s="52">
        <f t="shared" si="20"/>
        <v>1470.803525441137</v>
      </c>
      <c r="F87" s="34">
        <f t="shared" si="21"/>
        <v>1.7515344120715134E-2</v>
      </c>
    </row>
    <row r="88" spans="1:16" x14ac:dyDescent="0.2">
      <c r="A88" s="27">
        <f t="shared" si="22"/>
        <v>78</v>
      </c>
      <c r="B88" s="46">
        <v>82501.484732466386</v>
      </c>
      <c r="C88" s="50">
        <f t="shared" si="18"/>
        <v>82501.484732466386</v>
      </c>
      <c r="D88" s="31">
        <f t="shared" si="19"/>
        <v>0</v>
      </c>
      <c r="E88" s="52">
        <f t="shared" si="20"/>
        <v>1838.0535312930733</v>
      </c>
      <c r="F88" s="34">
        <f t="shared" si="21"/>
        <v>2.2279035792549241E-2</v>
      </c>
    </row>
    <row r="89" spans="1:16" x14ac:dyDescent="0.2">
      <c r="A89" s="27">
        <f t="shared" si="22"/>
        <v>79</v>
      </c>
      <c r="B89" s="46">
        <v>80663.431201173313</v>
      </c>
      <c r="C89" s="50">
        <f t="shared" si="18"/>
        <v>80663.431201173313</v>
      </c>
      <c r="D89" s="31">
        <f t="shared" si="19"/>
        <v>0</v>
      </c>
      <c r="E89" s="52">
        <f t="shared" si="20"/>
        <v>2038.5873535313876</v>
      </c>
      <c r="F89" s="34">
        <f t="shared" si="21"/>
        <v>2.5272757719011274E-2</v>
      </c>
    </row>
    <row r="90" spans="1:16" x14ac:dyDescent="0.2">
      <c r="A90" s="27">
        <f t="shared" si="22"/>
        <v>80</v>
      </c>
      <c r="B90" s="46">
        <v>78624.843847641925</v>
      </c>
      <c r="C90" s="50">
        <f t="shared" si="18"/>
        <v>78624.843847641925</v>
      </c>
      <c r="D90" s="31">
        <f t="shared" si="19"/>
        <v>0</v>
      </c>
      <c r="E90" s="52">
        <f t="shared" si="20"/>
        <v>2259.9018827373948</v>
      </c>
      <c r="F90" s="34">
        <f t="shared" si="21"/>
        <v>2.8742847325924102E-2</v>
      </c>
    </row>
    <row r="91" spans="1:16" x14ac:dyDescent="0.2">
      <c r="A91" s="27">
        <f t="shared" si="22"/>
        <v>81</v>
      </c>
      <c r="B91" s="46">
        <v>76364.94196490453</v>
      </c>
      <c r="C91" s="50">
        <f t="shared" si="18"/>
        <v>76364.94196490453</v>
      </c>
      <c r="D91" s="31">
        <f t="shared" si="19"/>
        <v>0</v>
      </c>
      <c r="E91" s="52">
        <f t="shared" si="20"/>
        <v>2501.9971189110947</v>
      </c>
      <c r="F91" s="34">
        <f t="shared" si="21"/>
        <v>3.2763687819745244E-2</v>
      </c>
    </row>
    <row r="92" spans="1:16" x14ac:dyDescent="0.2">
      <c r="A92" s="27">
        <f t="shared" si="22"/>
        <v>82</v>
      </c>
      <c r="B92" s="46">
        <v>73862.944845993436</v>
      </c>
      <c r="C92" s="50">
        <f t="shared" si="18"/>
        <v>73862.944845993436</v>
      </c>
      <c r="D92" s="31">
        <f t="shared" si="19"/>
        <v>0</v>
      </c>
      <c r="E92" s="52">
        <f t="shared" si="20"/>
        <v>2769.0292034460435</v>
      </c>
      <c r="F92" s="34">
        <f t="shared" si="21"/>
        <v>3.7488746342561302E-2</v>
      </c>
    </row>
    <row r="93" spans="1:16" x14ac:dyDescent="0.2">
      <c r="A93" s="27">
        <f t="shared" si="22"/>
        <v>83</v>
      </c>
      <c r="B93" s="46">
        <v>71093.915642547392</v>
      </c>
      <c r="C93" s="50">
        <f t="shared" si="18"/>
        <v>71093.915642547392</v>
      </c>
      <c r="D93" s="31">
        <f t="shared" si="19"/>
        <v>0</v>
      </c>
      <c r="E93" s="52">
        <f t="shared" si="20"/>
        <v>3059.9591009938449</v>
      </c>
      <c r="F93" s="34">
        <f t="shared" si="21"/>
        <v>4.3041082676877611E-2</v>
      </c>
    </row>
    <row r="94" spans="1:16" x14ac:dyDescent="0.2">
      <c r="A94" s="27">
        <f t="shared" si="22"/>
        <v>84</v>
      </c>
      <c r="B94" s="46">
        <v>68033.956541553547</v>
      </c>
      <c r="C94" s="50">
        <f t="shared" si="18"/>
        <v>68033.956541553547</v>
      </c>
      <c r="D94" s="31">
        <f t="shared" si="19"/>
        <v>0</v>
      </c>
      <c r="E94" s="52">
        <f t="shared" si="20"/>
        <v>3371.6697055093537</v>
      </c>
      <c r="F94" s="34">
        <f t="shared" si="21"/>
        <v>4.9558630379669552E-2</v>
      </c>
    </row>
    <row r="95" spans="1:16" x14ac:dyDescent="0.2">
      <c r="A95" s="27">
        <f t="shared" si="22"/>
        <v>85</v>
      </c>
      <c r="B95" s="46">
        <v>64662.286836044193</v>
      </c>
      <c r="C95" s="50">
        <f t="shared" si="18"/>
        <v>64662.286836044193</v>
      </c>
      <c r="D95" s="31">
        <f t="shared" si="19"/>
        <v>0</v>
      </c>
      <c r="E95" s="52">
        <f t="shared" si="20"/>
        <v>3691.6925928119308</v>
      </c>
      <c r="F95" s="34">
        <f t="shared" si="21"/>
        <v>5.7091896582199125E-2</v>
      </c>
    </row>
    <row r="96" spans="1:16" x14ac:dyDescent="0.2">
      <c r="A96" s="27">
        <f t="shared" si="22"/>
        <v>86</v>
      </c>
      <c r="B96" s="46">
        <v>60970.594243232263</v>
      </c>
      <c r="C96" s="50">
        <f t="shared" si="18"/>
        <v>60970.594243232263</v>
      </c>
      <c r="D96" s="31">
        <f t="shared" si="19"/>
        <v>0</v>
      </c>
      <c r="E96" s="52">
        <f t="shared" si="20"/>
        <v>4002.3641619790506</v>
      </c>
      <c r="F96" s="34">
        <f t="shared" si="21"/>
        <v>6.5644171779141114E-2</v>
      </c>
    </row>
    <row r="97" spans="1:6" x14ac:dyDescent="0.2">
      <c r="A97" s="27">
        <f t="shared" si="22"/>
        <v>87</v>
      </c>
      <c r="B97" s="46">
        <v>56968.230081253212</v>
      </c>
      <c r="C97" s="50">
        <f t="shared" si="18"/>
        <v>56968.230081253212</v>
      </c>
      <c r="D97" s="31">
        <f t="shared" si="19"/>
        <v>0</v>
      </c>
      <c r="E97" s="52">
        <f t="shared" si="20"/>
        <v>4282.9037060430055</v>
      </c>
      <c r="F97" s="34">
        <f t="shared" si="21"/>
        <v>7.5180564674983644E-2</v>
      </c>
    </row>
    <row r="98" spans="1:6" x14ac:dyDescent="0.2">
      <c r="A98" s="27">
        <f t="shared" si="22"/>
        <v>88</v>
      </c>
      <c r="B98" s="46">
        <v>52685.326375210207</v>
      </c>
      <c r="C98" s="50">
        <f t="shared" si="18"/>
        <v>52685.326375210207</v>
      </c>
      <c r="D98" s="31">
        <f t="shared" si="19"/>
        <v>0</v>
      </c>
      <c r="E98" s="52">
        <f t="shared" si="20"/>
        <v>4513.5695533844701</v>
      </c>
      <c r="F98" s="34">
        <f t="shared" si="21"/>
        <v>8.5670334871612755E-2</v>
      </c>
    </row>
    <row r="99" spans="1:6" x14ac:dyDescent="0.2">
      <c r="A99" s="27">
        <f t="shared" si="22"/>
        <v>89</v>
      </c>
      <c r="B99" s="46">
        <v>48171.756821825737</v>
      </c>
      <c r="C99" s="50">
        <f t="shared" si="18"/>
        <v>48171.756821825737</v>
      </c>
      <c r="D99" s="31">
        <f t="shared" si="19"/>
        <v>0</v>
      </c>
      <c r="E99" s="52">
        <f t="shared" si="20"/>
        <v>4669.4248556422244</v>
      </c>
      <c r="F99" s="34">
        <f t="shared" si="21"/>
        <v>9.6932832923514928E-2</v>
      </c>
    </row>
    <row r="100" spans="1:6" x14ac:dyDescent="0.2">
      <c r="A100" s="27">
        <f t="shared" si="22"/>
        <v>90</v>
      </c>
      <c r="B100" s="46">
        <v>43502.331966183512</v>
      </c>
      <c r="C100" s="50">
        <f t="shared" si="18"/>
        <v>43502.331966183512</v>
      </c>
      <c r="D100" s="31">
        <f t="shared" si="19"/>
        <v>0</v>
      </c>
      <c r="E100" s="52">
        <f t="shared" si="20"/>
        <v>4726.5717998034015</v>
      </c>
      <c r="F100" s="34">
        <f t="shared" si="21"/>
        <v>0.10865099837584791</v>
      </c>
    </row>
    <row r="101" spans="1:6" x14ac:dyDescent="0.2">
      <c r="A101" s="27">
        <f t="shared" si="22"/>
        <v>91</v>
      </c>
      <c r="B101" s="46">
        <v>38775.760166380111</v>
      </c>
      <c r="C101" s="50">
        <f t="shared" si="18"/>
        <v>38775.760166380111</v>
      </c>
      <c r="D101" s="31">
        <f t="shared" si="19"/>
        <v>0</v>
      </c>
      <c r="E101" s="52">
        <f t="shared" si="20"/>
        <v>5141.5894775931956</v>
      </c>
      <c r="F101" s="34">
        <f t="shared" si="21"/>
        <v>0.13259803174796628</v>
      </c>
    </row>
    <row r="102" spans="1:6" x14ac:dyDescent="0.2">
      <c r="A102" s="27">
        <f t="shared" si="22"/>
        <v>92</v>
      </c>
      <c r="B102" s="46">
        <v>33634.170688786915</v>
      </c>
      <c r="C102" s="50">
        <f t="shared" si="18"/>
        <v>33634.170688786915</v>
      </c>
      <c r="D102" s="31">
        <f t="shared" si="19"/>
        <v>0</v>
      </c>
      <c r="E102" s="52">
        <f t="shared" si="20"/>
        <v>4892.3074509911348</v>
      </c>
      <c r="F102" s="34">
        <f t="shared" si="21"/>
        <v>0.14545646141416979</v>
      </c>
    </row>
    <row r="103" spans="1:6" x14ac:dyDescent="0.2">
      <c r="A103" s="27">
        <f t="shared" si="22"/>
        <v>93</v>
      </c>
      <c r="B103" s="46">
        <v>28741.86323779578</v>
      </c>
      <c r="C103" s="50">
        <f t="shared" si="18"/>
        <v>28741.86323779578</v>
      </c>
      <c r="D103" s="31">
        <f t="shared" si="19"/>
        <v>0</v>
      </c>
      <c r="E103" s="52">
        <f t="shared" si="20"/>
        <v>4588.6795797270133</v>
      </c>
      <c r="F103" s="34">
        <f t="shared" si="21"/>
        <v>0.15965143045050967</v>
      </c>
    </row>
    <row r="104" spans="1:6" x14ac:dyDescent="0.2">
      <c r="A104" s="27">
        <f t="shared" si="22"/>
        <v>94</v>
      </c>
      <c r="B104" s="46">
        <v>24153.183658068767</v>
      </c>
      <c r="C104" s="50">
        <f t="shared" si="18"/>
        <v>24153.183658068767</v>
      </c>
      <c r="D104" s="31">
        <f t="shared" si="19"/>
        <v>0</v>
      </c>
      <c r="E104" s="52">
        <f t="shared" si="20"/>
        <v>4644.402219422238</v>
      </c>
      <c r="F104" s="34">
        <f t="shared" si="21"/>
        <v>0.19228944246737839</v>
      </c>
    </row>
    <row r="105" spans="1:6" x14ac:dyDescent="0.2">
      <c r="A105" s="27">
        <f t="shared" si="22"/>
        <v>95</v>
      </c>
      <c r="B105" s="46">
        <v>19508.781438646529</v>
      </c>
      <c r="C105" s="50">
        <f t="shared" si="18"/>
        <v>19508.781438646529</v>
      </c>
      <c r="D105" s="31">
        <f t="shared" si="19"/>
        <v>0</v>
      </c>
      <c r="E105" s="52">
        <f t="shared" si="20"/>
        <v>4108.6198535789572</v>
      </c>
      <c r="F105" s="34">
        <f t="shared" si="21"/>
        <v>0.21060361286532528</v>
      </c>
    </row>
    <row r="106" spans="1:6" x14ac:dyDescent="0.2">
      <c r="A106" s="27">
        <f t="shared" si="22"/>
        <v>96</v>
      </c>
      <c r="B106" s="46">
        <v>15400.161585067572</v>
      </c>
      <c r="C106" s="50">
        <f t="shared" ref="C106:C122" si="23">lx(A106)</f>
        <v>15400.161585067572</v>
      </c>
      <c r="D106" s="31">
        <f t="shared" ref="D106:D137" si="24">(B106&lt;&gt;C106)*1</f>
        <v>0</v>
      </c>
      <c r="E106" s="52">
        <f t="shared" ref="E106:E121" si="25">dx(A106)</f>
        <v>3542.7534511508948</v>
      </c>
      <c r="F106" s="34">
        <f t="shared" ref="F106:F121" si="26">qx(A106)</f>
        <v>0.23004651162790707</v>
      </c>
    </row>
    <row r="107" spans="1:6" x14ac:dyDescent="0.2">
      <c r="A107" s="27">
        <f t="shared" ref="A107:A122" si="27">A106+1</f>
        <v>97</v>
      </c>
      <c r="B107" s="46">
        <v>11857.408133916677</v>
      </c>
      <c r="C107" s="50">
        <f t="shared" si="23"/>
        <v>11857.408133916677</v>
      </c>
      <c r="D107" s="31">
        <f t="shared" si="24"/>
        <v>0</v>
      </c>
      <c r="E107" s="52">
        <f t="shared" si="25"/>
        <v>2969.7241828693095</v>
      </c>
      <c r="F107" s="34">
        <f t="shared" si="26"/>
        <v>0.25045306270387824</v>
      </c>
    </row>
    <row r="108" spans="1:6" x14ac:dyDescent="0.2">
      <c r="A108" s="27">
        <f t="shared" si="27"/>
        <v>98</v>
      </c>
      <c r="B108" s="46">
        <v>8887.6839510473674</v>
      </c>
      <c r="C108" s="50">
        <f t="shared" si="23"/>
        <v>8887.6839510473674</v>
      </c>
      <c r="D108" s="31">
        <f t="shared" si="24"/>
        <v>0</v>
      </c>
      <c r="E108" s="52">
        <f t="shared" si="25"/>
        <v>2418.1835121482836</v>
      </c>
      <c r="F108" s="34">
        <f t="shared" si="26"/>
        <v>0.27208252740167627</v>
      </c>
    </row>
    <row r="109" spans="1:6" x14ac:dyDescent="0.2">
      <c r="A109" s="27">
        <f t="shared" si="27"/>
        <v>99</v>
      </c>
      <c r="B109" s="46">
        <v>6469.5004388990837</v>
      </c>
      <c r="C109" s="50">
        <f t="shared" si="23"/>
        <v>6469.5004388990837</v>
      </c>
      <c r="D109" s="31">
        <f t="shared" si="24"/>
        <v>0</v>
      </c>
      <c r="E109" s="52">
        <f t="shared" si="25"/>
        <v>1906.7548902069711</v>
      </c>
      <c r="F109" s="34">
        <f t="shared" si="26"/>
        <v>0.29472984942426933</v>
      </c>
    </row>
    <row r="110" spans="1:6" x14ac:dyDescent="0.2">
      <c r="A110" s="27">
        <f t="shared" si="27"/>
        <v>100</v>
      </c>
      <c r="B110" s="46">
        <v>4562.7455486921126</v>
      </c>
      <c r="C110" s="50">
        <f t="shared" si="23"/>
        <v>4562.7455486921126</v>
      </c>
      <c r="D110" s="31">
        <f t="shared" si="24"/>
        <v>0</v>
      </c>
      <c r="E110" s="52">
        <f t="shared" si="25"/>
        <v>1452.6291950938157</v>
      </c>
      <c r="F110" s="34">
        <f t="shared" si="26"/>
        <v>0.31836734693877555</v>
      </c>
    </row>
    <row r="111" spans="1:6" x14ac:dyDescent="0.2">
      <c r="A111" s="27">
        <f t="shared" si="27"/>
        <v>101</v>
      </c>
      <c r="B111" s="46">
        <v>3110.1163535982969</v>
      </c>
      <c r="C111" s="50">
        <f t="shared" si="23"/>
        <v>3110.1163535982969</v>
      </c>
      <c r="D111" s="31">
        <f t="shared" si="24"/>
        <v>0</v>
      </c>
      <c r="E111" s="52">
        <f t="shared" si="25"/>
        <v>1067.2670121744502</v>
      </c>
      <c r="F111" s="34">
        <f t="shared" si="26"/>
        <v>0.34315983417779827</v>
      </c>
    </row>
    <row r="112" spans="1:6" x14ac:dyDescent="0.2">
      <c r="A112" s="27">
        <f t="shared" si="27"/>
        <v>102</v>
      </c>
      <c r="B112" s="46">
        <v>2042.8493414238467</v>
      </c>
      <c r="C112" s="50">
        <f t="shared" si="23"/>
        <v>2042.8493414238467</v>
      </c>
      <c r="D112" s="31">
        <f t="shared" si="24"/>
        <v>0</v>
      </c>
      <c r="E112" s="52">
        <f t="shared" si="25"/>
        <v>753.53348779028283</v>
      </c>
      <c r="F112" s="34">
        <f t="shared" si="26"/>
        <v>0.36886395511921455</v>
      </c>
    </row>
    <row r="113" spans="1:6" x14ac:dyDescent="0.2">
      <c r="A113" s="37">
        <f t="shared" si="27"/>
        <v>103</v>
      </c>
      <c r="B113" s="46">
        <v>1289.3158536335638</v>
      </c>
      <c r="C113" s="40">
        <f t="shared" si="23"/>
        <v>1289.3158536335638</v>
      </c>
      <c r="D113" s="31">
        <f t="shared" si="24"/>
        <v>0</v>
      </c>
      <c r="E113" s="53">
        <f t="shared" si="25"/>
        <v>509.99604877060972</v>
      </c>
      <c r="F113" s="34">
        <f t="shared" si="26"/>
        <v>0.39555555555555555</v>
      </c>
    </row>
    <row r="114" spans="1:6" x14ac:dyDescent="0.2">
      <c r="A114" s="37">
        <f t="shared" si="27"/>
        <v>104</v>
      </c>
      <c r="B114" s="46">
        <v>779.31980486295413</v>
      </c>
      <c r="C114" s="40">
        <f t="shared" si="23"/>
        <v>779.31980486295413</v>
      </c>
      <c r="D114" s="31">
        <f t="shared" si="24"/>
        <v>0</v>
      </c>
      <c r="E114" s="53">
        <f t="shared" si="25"/>
        <v>329.49182926191077</v>
      </c>
      <c r="F114" s="34">
        <f t="shared" si="26"/>
        <v>0.42279411764705882</v>
      </c>
    </row>
    <row r="115" spans="1:6" x14ac:dyDescent="0.2">
      <c r="A115" s="37">
        <f t="shared" si="27"/>
        <v>105</v>
      </c>
      <c r="B115" s="46">
        <v>449.82797560104336</v>
      </c>
      <c r="C115" s="40">
        <f t="shared" si="23"/>
        <v>449.82797560104336</v>
      </c>
      <c r="D115" s="31">
        <f t="shared" si="24"/>
        <v>0</v>
      </c>
      <c r="E115" s="53">
        <f t="shared" si="25"/>
        <v>203.4253902399623</v>
      </c>
      <c r="F115" s="34">
        <f t="shared" si="26"/>
        <v>0.45222929936305734</v>
      </c>
    </row>
    <row r="116" spans="1:6" x14ac:dyDescent="0.2">
      <c r="A116" s="37">
        <f t="shared" si="27"/>
        <v>106</v>
      </c>
      <c r="B116" s="46">
        <v>246.40258536108107</v>
      </c>
      <c r="C116" s="40">
        <f t="shared" si="23"/>
        <v>246.40258536108107</v>
      </c>
      <c r="D116" s="31">
        <f t="shared" si="24"/>
        <v>0</v>
      </c>
      <c r="E116" s="53">
        <f t="shared" si="25"/>
        <v>118.90357316842865</v>
      </c>
      <c r="F116" s="34">
        <f t="shared" si="26"/>
        <v>0.48255813953488369</v>
      </c>
    </row>
    <row r="117" spans="1:6" x14ac:dyDescent="0.2">
      <c r="A117" s="37">
        <f t="shared" si="27"/>
        <v>107</v>
      </c>
      <c r="B117" s="47">
        <v>127.49901219265242</v>
      </c>
      <c r="C117" s="40">
        <f t="shared" si="23"/>
        <v>127.49901219265242</v>
      </c>
      <c r="D117" s="31">
        <f t="shared" si="24"/>
        <v>0</v>
      </c>
      <c r="E117" s="53">
        <f t="shared" si="25"/>
        <v>64.465792681678181</v>
      </c>
      <c r="F117" s="34">
        <f t="shared" si="26"/>
        <v>0.5056179775280899</v>
      </c>
    </row>
    <row r="118" spans="1:6" x14ac:dyDescent="0.2">
      <c r="A118" s="37">
        <f t="shared" si="27"/>
        <v>108</v>
      </c>
      <c r="B118" s="47">
        <v>63.033219510974227</v>
      </c>
      <c r="C118" s="40">
        <f t="shared" si="23"/>
        <v>63.033219510974227</v>
      </c>
      <c r="D118" s="31">
        <f t="shared" si="24"/>
        <v>0</v>
      </c>
      <c r="E118" s="53">
        <f t="shared" si="25"/>
        <v>34.381756096895032</v>
      </c>
      <c r="F118" s="34">
        <f t="shared" si="26"/>
        <v>0.54545454545454541</v>
      </c>
    </row>
    <row r="119" spans="1:6" x14ac:dyDescent="0.2">
      <c r="A119" s="37">
        <f t="shared" si="27"/>
        <v>109</v>
      </c>
      <c r="B119" s="47">
        <v>28.651463414079196</v>
      </c>
      <c r="C119" s="40">
        <f t="shared" si="23"/>
        <v>28.651463414079196</v>
      </c>
      <c r="D119" s="31">
        <f t="shared" si="24"/>
        <v>0</v>
      </c>
      <c r="E119" s="53">
        <f t="shared" si="25"/>
        <v>15.758304877743559</v>
      </c>
      <c r="F119" s="34">
        <f t="shared" si="26"/>
        <v>0.55000000000000004</v>
      </c>
    </row>
    <row r="120" spans="1:6" x14ac:dyDescent="0.2">
      <c r="A120" s="37">
        <f t="shared" si="27"/>
        <v>110</v>
      </c>
      <c r="B120" s="47">
        <v>12.893158536335637</v>
      </c>
      <c r="C120" s="40">
        <f t="shared" si="23"/>
        <v>12.893158536335637</v>
      </c>
      <c r="D120" s="31">
        <f t="shared" si="24"/>
        <v>0</v>
      </c>
      <c r="E120" s="53">
        <f t="shared" si="25"/>
        <v>7.1628658535197989</v>
      </c>
      <c r="F120" s="34">
        <f t="shared" si="26"/>
        <v>0.55555555555555558</v>
      </c>
    </row>
    <row r="121" spans="1:6" x14ac:dyDescent="0.2">
      <c r="A121" s="37">
        <f t="shared" si="27"/>
        <v>111</v>
      </c>
      <c r="B121" s="47">
        <v>5.730292682815838</v>
      </c>
      <c r="C121" s="40">
        <f t="shared" si="23"/>
        <v>5.730292682815838</v>
      </c>
      <c r="D121" s="31">
        <f t="shared" si="24"/>
        <v>0</v>
      </c>
      <c r="E121" s="53">
        <f t="shared" si="25"/>
        <v>4.297719512111879</v>
      </c>
      <c r="F121" s="34">
        <f t="shared" si="26"/>
        <v>0.75</v>
      </c>
    </row>
    <row r="122" spans="1:6" ht="13.5" thickBot="1" x14ac:dyDescent="0.25">
      <c r="A122" s="38">
        <f t="shared" si="27"/>
        <v>112</v>
      </c>
      <c r="B122" s="48">
        <v>1.4325731707039595</v>
      </c>
      <c r="C122" s="41">
        <f t="shared" si="23"/>
        <v>1.4325731707039595</v>
      </c>
      <c r="D122" s="32">
        <f t="shared" si="24"/>
        <v>0</v>
      </c>
      <c r="E122" s="54">
        <f>C122</f>
        <v>1.4325731707039595</v>
      </c>
      <c r="F122" s="39">
        <v>1</v>
      </c>
    </row>
  </sheetData>
  <phoneticPr fontId="2" type="noConversion"/>
  <conditionalFormatting sqref="J13">
    <cfRule type="cellIs" dxfId="8" priority="9" operator="notEqual">
      <formula>"OK"</formula>
    </cfRule>
  </conditionalFormatting>
  <conditionalFormatting sqref="O13">
    <cfRule type="cellIs" dxfId="7" priority="8" operator="notEqual">
      <formula>"OK"</formula>
    </cfRule>
  </conditionalFormatting>
  <conditionalFormatting sqref="J17">
    <cfRule type="cellIs" dxfId="6" priority="7" operator="notEqual">
      <formula>"OK"</formula>
    </cfRule>
  </conditionalFormatting>
  <conditionalFormatting sqref="O17">
    <cfRule type="cellIs" dxfId="5" priority="6" operator="notEqual">
      <formula>"OK"</formula>
    </cfRule>
  </conditionalFormatting>
  <conditionalFormatting sqref="P13">
    <cfRule type="cellIs" dxfId="4" priority="5" operator="notEqual">
      <formula>"OK"</formula>
    </cfRule>
  </conditionalFormatting>
  <conditionalFormatting sqref="K13">
    <cfRule type="cellIs" dxfId="3" priority="4" operator="notEqual">
      <formula>"OK"</formula>
    </cfRule>
  </conditionalFormatting>
  <conditionalFormatting sqref="D10">
    <cfRule type="cellIs" dxfId="2" priority="3" operator="notEqual">
      <formula>0</formula>
    </cfRule>
  </conditionalFormatting>
  <conditionalFormatting sqref="D11:D122">
    <cfRule type="cellIs" dxfId="1" priority="2" operator="notEqual">
      <formula>0</formula>
    </cfRule>
  </conditionalFormatting>
  <conditionalFormatting sqref="D8">
    <cfRule type="cellIs" dxfId="0" priority="1" operator="notEqual">
      <formula>0</formula>
    </cfRule>
  </conditionalFormatting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8" r:id="rId4" name="Button 12">
              <controlPr defaultSize="0" print="0" autoFill="0" autoPict="0" macro="[0]!loadMortalityTable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19050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lculate">
                <anchor moveWithCells="1" sizeWithCells="1">
                  <from>
                    <xdr:col>0</xdr:col>
                    <xdr:colOff>66675</xdr:colOff>
                    <xdr:row>3</xdr:row>
                    <xdr:rowOff>9525</xdr:rowOff>
                  </from>
                  <to>
                    <xdr:col>4</xdr:col>
                    <xdr:colOff>0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</vt:i4>
      </vt:variant>
      <vt:variant>
        <vt:lpstr>Plages nommées</vt:lpstr>
      </vt:variant>
      <vt:variant>
        <vt:i4>1</vt:i4>
      </vt:variant>
    </vt:vector>
  </HeadingPairs>
  <TitlesOfParts>
    <vt:vector size="2" baseType="lpstr">
      <vt:lpstr>Premium_TDD</vt:lpstr>
      <vt:lpstr>Premium_TDD!MortalityTable</vt:lpstr>
    </vt:vector>
  </TitlesOfParts>
  <Company>Universo Servizi S.p.A.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Montiferrari</dc:creator>
  <cp:lastModifiedBy>philippe negre</cp:lastModifiedBy>
  <dcterms:created xsi:type="dcterms:W3CDTF">2006-11-07T20:43:23Z</dcterms:created>
  <dcterms:modified xsi:type="dcterms:W3CDTF">2022-01-25T08:51:38Z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113b37cb-b158-44e6-924a-b89172fc0d1e</vt:lpwstr>
  </property>
</Properties>
</file>