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egre\PycharmProjects\PFE_IA\"/>
    </mc:Choice>
  </mc:AlternateContent>
  <xr:revisionPtr revIDLastSave="0" documentId="8_{ED5BE449-C4BB-4E4D-AF60-8ED2930316BA}" xr6:coauthVersionLast="47" xr6:coauthVersionMax="47" xr10:uidLastSave="{00000000-0000-0000-0000-000000000000}"/>
  <bookViews>
    <workbookView xWindow="-120" yWindow="-120" windowWidth="29040" windowHeight="15840" tabRatio="830" activeTab="3" xr2:uid="{00000000-000D-0000-FFFF-FFFF00000000}"/>
  </bookViews>
  <sheets>
    <sheet name="Premium_ATDD" sheetId="11" r:id="rId1"/>
    <sheet name="Stress_Scenario_Premium_ATDD" sheetId="18" r:id="rId2"/>
    <sheet name="Reserves_ATDD" sheetId="7" r:id="rId3"/>
    <sheet name="BalanceSheet_ATDD" sheetId="21" r:id="rId4"/>
  </sheets>
  <functionGroups builtInGroupCount="19"/>
  <definedNames>
    <definedName name="MortalityTable" localSheetId="0">Premium_ATDD!$B$10:$B$120</definedName>
    <definedName name="MortalityTable" localSheetId="2">Reserves_ATDD!$B$10:$B$120</definedName>
    <definedName name="MortalityTable" localSheetId="1">Stress_Scenario_Premium_ATDD!$B$10:$B$120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2" i="11" l="1"/>
  <c r="M23" i="11" s="1"/>
  <c r="M24" i="11" s="1"/>
  <c r="M25" i="11" s="1"/>
  <c r="M26" i="11" s="1"/>
  <c r="M27" i="11" s="1"/>
  <c r="M28" i="11" s="1"/>
  <c r="M29" i="11" s="1"/>
  <c r="M30" i="11" s="1"/>
  <c r="M31" i="11" s="1"/>
  <c r="M32" i="11" s="1"/>
  <c r="M33" i="11" s="1"/>
  <c r="M34" i="11" s="1"/>
  <c r="M35" i="11" s="1"/>
  <c r="M36" i="11" s="1"/>
  <c r="M37" i="11" s="1"/>
  <c r="M38" i="11" s="1"/>
  <c r="M39" i="11" s="1"/>
  <c r="M40" i="11" s="1"/>
  <c r="M41" i="11" s="1"/>
  <c r="M42" i="11" s="1"/>
  <c r="M43" i="11" s="1"/>
  <c r="M44" i="11" s="1"/>
  <c r="M45" i="11" s="1"/>
  <c r="M46" i="11" s="1"/>
  <c r="M47" i="11" s="1"/>
  <c r="M48" i="11" s="1"/>
  <c r="M49" i="11" s="1"/>
  <c r="M50" i="11" s="1"/>
  <c r="M51" i="11" s="1"/>
  <c r="M52" i="11" s="1"/>
  <c r="M53" i="11" s="1"/>
  <c r="M54" i="11" s="1"/>
  <c r="M55" i="11" s="1"/>
  <c r="M56" i="11" s="1"/>
  <c r="M57" i="11" s="1"/>
  <c r="M58" i="11" s="1"/>
  <c r="M59" i="11" s="1"/>
  <c r="M60" i="11" s="1"/>
  <c r="M61" i="11" s="1"/>
  <c r="M62" i="11" s="1"/>
  <c r="M63" i="11" s="1"/>
  <c r="M64" i="11" s="1"/>
  <c r="M65" i="11" s="1"/>
  <c r="M66" i="11" s="1"/>
  <c r="M67" i="11" s="1"/>
  <c r="M68" i="11" s="1"/>
  <c r="M69" i="11" s="1"/>
  <c r="M70" i="11" s="1"/>
  <c r="M71" i="11" s="1"/>
  <c r="M72" i="11" s="1"/>
  <c r="M73" i="11" s="1"/>
  <c r="M74" i="11" s="1"/>
  <c r="M75" i="11" s="1"/>
  <c r="M76" i="11" s="1"/>
  <c r="M77" i="11" s="1"/>
  <c r="M78" i="11" s="1"/>
  <c r="M79" i="11" s="1"/>
  <c r="M80" i="11" s="1"/>
  <c r="M81" i="11" s="1"/>
  <c r="M82" i="11" s="1"/>
  <c r="M83" i="11" s="1"/>
  <c r="M84" i="11" s="1"/>
  <c r="M85" i="11" s="1"/>
  <c r="M86" i="11" s="1"/>
  <c r="M87" i="11" s="1"/>
  <c r="M88" i="11" s="1"/>
  <c r="M89" i="11" s="1"/>
  <c r="M90" i="11" s="1"/>
  <c r="M91" i="11" s="1"/>
  <c r="M92" i="11" s="1"/>
  <c r="M93" i="11" s="1"/>
  <c r="M94" i="11" s="1"/>
  <c r="M95" i="11" s="1"/>
  <c r="M96" i="11" s="1"/>
  <c r="M97" i="11" s="1"/>
  <c r="M98" i="11" s="1"/>
  <c r="M99" i="11" s="1"/>
  <c r="M100" i="11" s="1"/>
  <c r="M101" i="11" s="1"/>
  <c r="M102" i="11" s="1"/>
  <c r="M103" i="11" s="1"/>
  <c r="M104" i="11" s="1"/>
  <c r="M105" i="11" s="1"/>
  <c r="M106" i="11" s="1"/>
  <c r="M107" i="11" s="1"/>
  <c r="M108" i="11" s="1"/>
  <c r="M109" i="11" s="1"/>
  <c r="M110" i="11" s="1"/>
  <c r="M111" i="11" s="1"/>
  <c r="H22" i="11"/>
  <c r="M21" i="11"/>
  <c r="H2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O35" i="7"/>
  <c r="O36" i="7" s="1"/>
  <c r="O37" i="7" s="1"/>
  <c r="O38" i="7" s="1"/>
  <c r="O39" i="7" s="1"/>
  <c r="O40" i="7" s="1"/>
  <c r="A14" i="7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1" i="7"/>
  <c r="A12" i="7" s="1"/>
  <c r="A13" i="7" s="1"/>
  <c r="F119" i="11"/>
  <c r="C118" i="11"/>
  <c r="E116" i="11"/>
  <c r="F115" i="11"/>
  <c r="C114" i="11"/>
  <c r="E112" i="11"/>
  <c r="P111" i="11"/>
  <c r="F111" i="11"/>
  <c r="C110" i="11"/>
  <c r="N109" i="11"/>
  <c r="O108" i="11"/>
  <c r="E108" i="11"/>
  <c r="P107" i="11"/>
  <c r="F107" i="11"/>
  <c r="C106" i="11"/>
  <c r="N105" i="11"/>
  <c r="O104" i="11"/>
  <c r="E104" i="11"/>
  <c r="P103" i="11"/>
  <c r="F103" i="11"/>
  <c r="C102" i="11"/>
  <c r="N101" i="11"/>
  <c r="O100" i="11"/>
  <c r="E100" i="11"/>
  <c r="P99" i="11"/>
  <c r="F99" i="11"/>
  <c r="C98" i="11"/>
  <c r="N97" i="11"/>
  <c r="O96" i="11"/>
  <c r="E96" i="11"/>
  <c r="P95" i="11"/>
  <c r="F95" i="11"/>
  <c r="C94" i="11"/>
  <c r="N93" i="11"/>
  <c r="O92" i="11"/>
  <c r="E92" i="11"/>
  <c r="P91" i="11"/>
  <c r="F91" i="11"/>
  <c r="C90" i="11"/>
  <c r="N89" i="11"/>
  <c r="O88" i="11"/>
  <c r="E88" i="11"/>
  <c r="P87" i="11"/>
  <c r="F87" i="11"/>
  <c r="C86" i="11"/>
  <c r="N85" i="11"/>
  <c r="O84" i="11"/>
  <c r="E84" i="11"/>
  <c r="P83" i="11"/>
  <c r="E119" i="11"/>
  <c r="F118" i="11"/>
  <c r="C117" i="11"/>
  <c r="E115" i="11"/>
  <c r="F114" i="11"/>
  <c r="C113" i="11"/>
  <c r="O111" i="11"/>
  <c r="E111" i="11"/>
  <c r="P110" i="11"/>
  <c r="F110" i="11"/>
  <c r="C109" i="11"/>
  <c r="N108" i="11"/>
  <c r="O107" i="11"/>
  <c r="E107" i="11"/>
  <c r="P106" i="11"/>
  <c r="F106" i="11"/>
  <c r="C120" i="11"/>
  <c r="E118" i="11"/>
  <c r="F117" i="11"/>
  <c r="C116" i="11"/>
  <c r="E114" i="11"/>
  <c r="F113" i="11"/>
  <c r="C112" i="11"/>
  <c r="N111" i="11"/>
  <c r="O110" i="11"/>
  <c r="E110" i="11"/>
  <c r="P109" i="11"/>
  <c r="F109" i="11"/>
  <c r="C108" i="11"/>
  <c r="N107" i="11"/>
  <c r="O106" i="11"/>
  <c r="E106" i="11"/>
  <c r="P105" i="11"/>
  <c r="F105" i="11"/>
  <c r="C104" i="11"/>
  <c r="N103" i="11"/>
  <c r="O102" i="11"/>
  <c r="E102" i="11"/>
  <c r="P101" i="11"/>
  <c r="F101" i="11"/>
  <c r="C100" i="11"/>
  <c r="N99" i="11"/>
  <c r="O98" i="11"/>
  <c r="E98" i="11"/>
  <c r="P97" i="11"/>
  <c r="F97" i="11"/>
  <c r="C96" i="11"/>
  <c r="N95" i="11"/>
  <c r="O94" i="11"/>
  <c r="E94" i="11"/>
  <c r="P93" i="11"/>
  <c r="F93" i="11"/>
  <c r="C92" i="11"/>
  <c r="N91" i="11"/>
  <c r="O90" i="11"/>
  <c r="E90" i="11"/>
  <c r="P89" i="11"/>
  <c r="F89" i="11"/>
  <c r="C88" i="11"/>
  <c r="N87" i="11"/>
  <c r="O86" i="11"/>
  <c r="E86" i="11"/>
  <c r="P85" i="11"/>
  <c r="F85" i="11"/>
  <c r="C84" i="11"/>
  <c r="N83" i="11"/>
  <c r="F116" i="11"/>
  <c r="E113" i="11"/>
  <c r="P108" i="11"/>
  <c r="N104" i="11"/>
  <c r="P102" i="11"/>
  <c r="F102" i="11"/>
  <c r="C101" i="11"/>
  <c r="O99" i="11"/>
  <c r="E99" i="11"/>
  <c r="N96" i="11"/>
  <c r="P94" i="11"/>
  <c r="F94" i="11"/>
  <c r="C93" i="11"/>
  <c r="O91" i="11"/>
  <c r="E91" i="11"/>
  <c r="N88" i="11"/>
  <c r="P86" i="11"/>
  <c r="F86" i="11"/>
  <c r="C85" i="11"/>
  <c r="O83" i="11"/>
  <c r="F83" i="11"/>
  <c r="C82" i="11"/>
  <c r="N81" i="11"/>
  <c r="O80" i="11"/>
  <c r="E80" i="11"/>
  <c r="P79" i="11"/>
  <c r="F79" i="11"/>
  <c r="C78" i="11"/>
  <c r="N77" i="11"/>
  <c r="O76" i="11"/>
  <c r="E76" i="11"/>
  <c r="P75" i="11"/>
  <c r="F75" i="11"/>
  <c r="C74" i="11"/>
  <c r="N73" i="11"/>
  <c r="O72" i="11"/>
  <c r="E72" i="11"/>
  <c r="P71" i="11"/>
  <c r="F71" i="11"/>
  <c r="C70" i="11"/>
  <c r="N69" i="11"/>
  <c r="O68" i="11"/>
  <c r="E68" i="11"/>
  <c r="P67" i="11"/>
  <c r="F67" i="11"/>
  <c r="C66" i="11"/>
  <c r="N65" i="11"/>
  <c r="O64" i="11"/>
  <c r="E64" i="11"/>
  <c r="P63" i="11"/>
  <c r="F63" i="11"/>
  <c r="C62" i="11"/>
  <c r="N61" i="11"/>
  <c r="C119" i="11"/>
  <c r="F112" i="11"/>
  <c r="C111" i="11"/>
  <c r="O109" i="11"/>
  <c r="E105" i="11"/>
  <c r="N102" i="11"/>
  <c r="P100" i="11"/>
  <c r="F100" i="11"/>
  <c r="C99" i="11"/>
  <c r="O97" i="11"/>
  <c r="E97" i="11"/>
  <c r="N94" i="11"/>
  <c r="P92" i="11"/>
  <c r="F92" i="11"/>
  <c r="C91" i="11"/>
  <c r="O89" i="11"/>
  <c r="E89" i="11"/>
  <c r="N86" i="11"/>
  <c r="P84" i="11"/>
  <c r="F84" i="11"/>
  <c r="E83" i="11"/>
  <c r="P82" i="11"/>
  <c r="F82" i="11"/>
  <c r="C81" i="11"/>
  <c r="N80" i="11"/>
  <c r="O79" i="11"/>
  <c r="E79" i="11"/>
  <c r="P78" i="11"/>
  <c r="F78" i="11"/>
  <c r="C77" i="11"/>
  <c r="N76" i="11"/>
  <c r="O75" i="11"/>
  <c r="E75" i="11"/>
  <c r="P74" i="11"/>
  <c r="F74" i="11"/>
  <c r="C73" i="11"/>
  <c r="N72" i="11"/>
  <c r="O71" i="11"/>
  <c r="E71" i="11"/>
  <c r="P70" i="11"/>
  <c r="F70" i="11"/>
  <c r="C69" i="11"/>
  <c r="N68" i="11"/>
  <c r="O67" i="11"/>
  <c r="E67" i="11"/>
  <c r="P66" i="11"/>
  <c r="F66" i="11"/>
  <c r="C115" i="11"/>
  <c r="N110" i="11"/>
  <c r="F108" i="11"/>
  <c r="C107" i="11"/>
  <c r="O105" i="11"/>
  <c r="C105" i="11"/>
  <c r="O103" i="11"/>
  <c r="E103" i="11"/>
  <c r="N100" i="11"/>
  <c r="P98" i="11"/>
  <c r="F98" i="11"/>
  <c r="C97" i="11"/>
  <c r="O95" i="11"/>
  <c r="E95" i="11"/>
  <c r="N92" i="11"/>
  <c r="P90" i="11"/>
  <c r="F90" i="11"/>
  <c r="C89" i="11"/>
  <c r="O87" i="11"/>
  <c r="E87" i="11"/>
  <c r="N84" i="11"/>
  <c r="O82" i="11"/>
  <c r="E82" i="11"/>
  <c r="P81" i="11"/>
  <c r="F81" i="11"/>
  <c r="C80" i="11"/>
  <c r="N79" i="11"/>
  <c r="O78" i="11"/>
  <c r="E78" i="11"/>
  <c r="P77" i="11"/>
  <c r="F77" i="11"/>
  <c r="C76" i="11"/>
  <c r="N75" i="11"/>
  <c r="O74" i="11"/>
  <c r="E74" i="11"/>
  <c r="P73" i="11"/>
  <c r="F73" i="11"/>
  <c r="C72" i="11"/>
  <c r="N71" i="11"/>
  <c r="O70" i="11"/>
  <c r="E70" i="11"/>
  <c r="P69" i="11"/>
  <c r="F69" i="11"/>
  <c r="C68" i="11"/>
  <c r="N67" i="11"/>
  <c r="O66" i="11"/>
  <c r="E66" i="11"/>
  <c r="P65" i="11"/>
  <c r="F65" i="11"/>
  <c r="C64" i="11"/>
  <c r="N63" i="11"/>
  <c r="O62" i="11"/>
  <c r="E62" i="11"/>
  <c r="E117" i="11"/>
  <c r="E109" i="11"/>
  <c r="P104" i="11"/>
  <c r="C95" i="11"/>
  <c r="E85" i="11"/>
  <c r="C83" i="11"/>
  <c r="O81" i="11"/>
  <c r="P76" i="11"/>
  <c r="E73" i="11"/>
  <c r="N70" i="11"/>
  <c r="F68" i="11"/>
  <c r="C67" i="11"/>
  <c r="O65" i="11"/>
  <c r="P64" i="11"/>
  <c r="F64" i="11"/>
  <c r="C63" i="11"/>
  <c r="P61" i="11"/>
  <c r="C61" i="11"/>
  <c r="N60" i="11"/>
  <c r="O59" i="11"/>
  <c r="E59" i="11"/>
  <c r="P58" i="11"/>
  <c r="F58" i="11"/>
  <c r="C57" i="11"/>
  <c r="N56" i="11"/>
  <c r="O55" i="11"/>
  <c r="E55" i="11"/>
  <c r="P54" i="11"/>
  <c r="F54" i="11"/>
  <c r="C53" i="11"/>
  <c r="N52" i="11"/>
  <c r="O51" i="11"/>
  <c r="E51" i="11"/>
  <c r="P50" i="11"/>
  <c r="F50" i="11"/>
  <c r="C49" i="11"/>
  <c r="N48" i="11"/>
  <c r="O47" i="11"/>
  <c r="E47" i="11"/>
  <c r="P46" i="11"/>
  <c r="F46" i="11"/>
  <c r="C45" i="11"/>
  <c r="N44" i="11"/>
  <c r="O43" i="11"/>
  <c r="E43" i="11"/>
  <c r="P42" i="11"/>
  <c r="F42" i="11"/>
  <c r="C41" i="11"/>
  <c r="N40" i="11"/>
  <c r="O39" i="11"/>
  <c r="E39" i="11"/>
  <c r="P38" i="11"/>
  <c r="F38" i="11"/>
  <c r="C37" i="11"/>
  <c r="N36" i="11"/>
  <c r="O35" i="11"/>
  <c r="E35" i="11"/>
  <c r="P34" i="11"/>
  <c r="F34" i="11"/>
  <c r="C33" i="11"/>
  <c r="N32" i="11"/>
  <c r="O31" i="11"/>
  <c r="E31" i="11"/>
  <c r="P30" i="11"/>
  <c r="F30" i="11"/>
  <c r="C29" i="11"/>
  <c r="N28" i="11"/>
  <c r="O27" i="11"/>
  <c r="E27" i="11"/>
  <c r="P26" i="11"/>
  <c r="F26" i="11"/>
  <c r="C25" i="11"/>
  <c r="N24" i="11"/>
  <c r="O23" i="11"/>
  <c r="E23" i="11"/>
  <c r="P22" i="11"/>
  <c r="F22" i="11"/>
  <c r="C21" i="11"/>
  <c r="N20" i="11"/>
  <c r="F20" i="11"/>
  <c r="C19" i="11"/>
  <c r="C17" i="11"/>
  <c r="F16" i="11"/>
  <c r="E15" i="11"/>
  <c r="F14" i="11"/>
  <c r="C13" i="11"/>
  <c r="K12" i="11"/>
  <c r="C11" i="11"/>
  <c r="E14" i="11"/>
  <c r="F13" i="11"/>
  <c r="C12" i="11"/>
  <c r="C10" i="11"/>
  <c r="F88" i="11"/>
  <c r="P80" i="11"/>
  <c r="C71" i="11"/>
  <c r="C65" i="11"/>
  <c r="E63" i="11"/>
  <c r="E60" i="11"/>
  <c r="F59" i="11"/>
  <c r="O56" i="11"/>
  <c r="F55" i="11"/>
  <c r="F104" i="11"/>
  <c r="O101" i="11"/>
  <c r="P96" i="11"/>
  <c r="C87" i="11"/>
  <c r="N82" i="11"/>
  <c r="F80" i="11"/>
  <c r="C79" i="11"/>
  <c r="O77" i="11"/>
  <c r="P72" i="11"/>
  <c r="E69" i="11"/>
  <c r="N66" i="11"/>
  <c r="N64" i="11"/>
  <c r="P62" i="11"/>
  <c r="F62" i="11"/>
  <c r="O61" i="11"/>
  <c r="C60" i="11"/>
  <c r="N59" i="11"/>
  <c r="O58" i="11"/>
  <c r="E58" i="11"/>
  <c r="P57" i="11"/>
  <c r="F57" i="11"/>
  <c r="C56" i="11"/>
  <c r="N55" i="11"/>
  <c r="O54" i="11"/>
  <c r="E54" i="11"/>
  <c r="P53" i="11"/>
  <c r="F53" i="11"/>
  <c r="C52" i="11"/>
  <c r="N51" i="11"/>
  <c r="O50" i="11"/>
  <c r="E50" i="11"/>
  <c r="P49" i="11"/>
  <c r="F49" i="11"/>
  <c r="C48" i="11"/>
  <c r="N47" i="11"/>
  <c r="O46" i="11"/>
  <c r="E46" i="11"/>
  <c r="P45" i="11"/>
  <c r="F45" i="11"/>
  <c r="C44" i="11"/>
  <c r="N43" i="11"/>
  <c r="O42" i="11"/>
  <c r="E42" i="11"/>
  <c r="P41" i="11"/>
  <c r="F41" i="11"/>
  <c r="C40" i="11"/>
  <c r="N39" i="11"/>
  <c r="O38" i="11"/>
  <c r="E38" i="11"/>
  <c r="P37" i="11"/>
  <c r="F37" i="11"/>
  <c r="C36" i="11"/>
  <c r="N35" i="11"/>
  <c r="O34" i="11"/>
  <c r="E34" i="11"/>
  <c r="P33" i="11"/>
  <c r="F33" i="11"/>
  <c r="C32" i="11"/>
  <c r="N31" i="11"/>
  <c r="O30" i="11"/>
  <c r="E30" i="11"/>
  <c r="P29" i="11"/>
  <c r="F29" i="11"/>
  <c r="C28" i="11"/>
  <c r="N27" i="11"/>
  <c r="O26" i="11"/>
  <c r="E26" i="11"/>
  <c r="P25" i="11"/>
  <c r="F25" i="11"/>
  <c r="C24" i="11"/>
  <c r="N23" i="11"/>
  <c r="O22" i="11"/>
  <c r="E22" i="11"/>
  <c r="P21" i="11"/>
  <c r="F21" i="11"/>
  <c r="E20" i="11"/>
  <c r="F19" i="11"/>
  <c r="C18" i="11"/>
  <c r="F17" i="11"/>
  <c r="E16" i="11"/>
  <c r="F11" i="11"/>
  <c r="C103" i="11"/>
  <c r="E77" i="11"/>
  <c r="O69" i="11"/>
  <c r="O63" i="11"/>
  <c r="E61" i="11"/>
  <c r="C58" i="11"/>
  <c r="E56" i="11"/>
  <c r="C54" i="11"/>
  <c r="N106" i="11"/>
  <c r="E101" i="11"/>
  <c r="N98" i="11"/>
  <c r="F96" i="11"/>
  <c r="O93" i="11"/>
  <c r="P88" i="11"/>
  <c r="E81" i="11"/>
  <c r="N78" i="11"/>
  <c r="F76" i="11"/>
  <c r="C75" i="11"/>
  <c r="O73" i="11"/>
  <c r="P68" i="11"/>
  <c r="E65" i="11"/>
  <c r="N62" i="11"/>
  <c r="F61" i="11"/>
  <c r="P60" i="11"/>
  <c r="F60" i="11"/>
  <c r="C59" i="11"/>
  <c r="N58" i="11"/>
  <c r="O57" i="11"/>
  <c r="E57" i="11"/>
  <c r="P56" i="11"/>
  <c r="F56" i="11"/>
  <c r="C55" i="11"/>
  <c r="N54" i="11"/>
  <c r="O53" i="11"/>
  <c r="E53" i="11"/>
  <c r="P52" i="11"/>
  <c r="F52" i="11"/>
  <c r="C51" i="11"/>
  <c r="N50" i="11"/>
  <c r="O49" i="11"/>
  <c r="E49" i="11"/>
  <c r="P48" i="11"/>
  <c r="F48" i="11"/>
  <c r="C47" i="11"/>
  <c r="N46" i="11"/>
  <c r="O45" i="11"/>
  <c r="E45" i="11"/>
  <c r="P44" i="11"/>
  <c r="F44" i="11"/>
  <c r="C43" i="11"/>
  <c r="N42" i="11"/>
  <c r="O41" i="11"/>
  <c r="E41" i="11"/>
  <c r="P40" i="11"/>
  <c r="F40" i="11"/>
  <c r="C39" i="11"/>
  <c r="N38" i="11"/>
  <c r="O37" i="11"/>
  <c r="E37" i="11"/>
  <c r="P36" i="11"/>
  <c r="F36" i="11"/>
  <c r="C35" i="11"/>
  <c r="N34" i="11"/>
  <c r="O33" i="11"/>
  <c r="E33" i="11"/>
  <c r="P32" i="11"/>
  <c r="F32" i="11"/>
  <c r="C31" i="11"/>
  <c r="N30" i="11"/>
  <c r="O29" i="11"/>
  <c r="E29" i="11"/>
  <c r="P28" i="11"/>
  <c r="F28" i="11"/>
  <c r="C27" i="11"/>
  <c r="N26" i="11"/>
  <c r="O25" i="11"/>
  <c r="E25" i="11"/>
  <c r="P24" i="11"/>
  <c r="F24" i="11"/>
  <c r="C23" i="11"/>
  <c r="N22" i="11"/>
  <c r="I22" i="11"/>
  <c r="O21" i="11"/>
  <c r="E21" i="11"/>
  <c r="P20" i="11"/>
  <c r="J20" i="11"/>
  <c r="E19" i="11"/>
  <c r="F18" i="11"/>
  <c r="E17" i="11"/>
  <c r="O16" i="11"/>
  <c r="C15" i="11"/>
  <c r="E13" i="11"/>
  <c r="P12" i="11"/>
  <c r="F12" i="11"/>
  <c r="E11" i="11"/>
  <c r="F10" i="11"/>
  <c r="E93" i="11"/>
  <c r="N90" i="11"/>
  <c r="O85" i="11"/>
  <c r="N74" i="11"/>
  <c r="F72" i="11"/>
  <c r="O60" i="11"/>
  <c r="P59" i="11"/>
  <c r="N57" i="11"/>
  <c r="P55" i="11"/>
  <c r="N53" i="11"/>
  <c r="P51" i="11"/>
  <c r="E48" i="11"/>
  <c r="N45" i="11"/>
  <c r="F43" i="11"/>
  <c r="C42" i="11"/>
  <c r="O40" i="11"/>
  <c r="P35" i="11"/>
  <c r="E32" i="11"/>
  <c r="N29" i="11"/>
  <c r="F27" i="11"/>
  <c r="C26" i="11"/>
  <c r="O24" i="11"/>
  <c r="I21" i="11"/>
  <c r="I20" i="11"/>
  <c r="F15" i="11"/>
  <c r="C20" i="11"/>
  <c r="N49" i="11"/>
  <c r="F47" i="11"/>
  <c r="E36" i="11"/>
  <c r="N33" i="11"/>
  <c r="O28" i="11"/>
  <c r="P23" i="11"/>
  <c r="E18" i="11"/>
  <c r="O52" i="11"/>
  <c r="P47" i="11"/>
  <c r="E44" i="11"/>
  <c r="N41" i="11"/>
  <c r="F39" i="11"/>
  <c r="C38" i="11"/>
  <c r="O36" i="11"/>
  <c r="P31" i="11"/>
  <c r="E28" i="11"/>
  <c r="N25" i="11"/>
  <c r="F23" i="11"/>
  <c r="C22" i="11"/>
  <c r="J21" i="11"/>
  <c r="O44" i="11"/>
  <c r="F31" i="11"/>
  <c r="O20" i="11"/>
  <c r="C16" i="11"/>
  <c r="F51" i="11"/>
  <c r="C50" i="11"/>
  <c r="O48" i="11"/>
  <c r="P43" i="11"/>
  <c r="E40" i="11"/>
  <c r="N37" i="11"/>
  <c r="F35" i="11"/>
  <c r="C34" i="11"/>
  <c r="O32" i="11"/>
  <c r="P27" i="11"/>
  <c r="E24" i="11"/>
  <c r="N21" i="11"/>
  <c r="J16" i="11"/>
  <c r="C14" i="11"/>
  <c r="E12" i="11"/>
  <c r="E10" i="11"/>
  <c r="E52" i="11"/>
  <c r="C46" i="11"/>
  <c r="P39" i="11"/>
  <c r="C30" i="11"/>
  <c r="F119" i="7"/>
  <c r="C118" i="7"/>
  <c r="E116" i="7"/>
  <c r="F115" i="7"/>
  <c r="C114" i="7"/>
  <c r="E112" i="7"/>
  <c r="F111" i="7"/>
  <c r="C110" i="7"/>
  <c r="E108" i="7"/>
  <c r="F107" i="7"/>
  <c r="C106" i="7"/>
  <c r="E104" i="7"/>
  <c r="F103" i="7"/>
  <c r="C102" i="7"/>
  <c r="E100" i="7"/>
  <c r="F99" i="7"/>
  <c r="C98" i="7"/>
  <c r="E96" i="7"/>
  <c r="F95" i="7"/>
  <c r="C94" i="7"/>
  <c r="E92" i="7"/>
  <c r="F91" i="7"/>
  <c r="C90" i="7"/>
  <c r="E88" i="7"/>
  <c r="F87" i="7"/>
  <c r="C86" i="7"/>
  <c r="E84" i="7"/>
  <c r="F83" i="7"/>
  <c r="C82" i="7"/>
  <c r="E80" i="7"/>
  <c r="F79" i="7"/>
  <c r="C78" i="7"/>
  <c r="E76" i="7"/>
  <c r="F75" i="7"/>
  <c r="C74" i="7"/>
  <c r="E72" i="7"/>
  <c r="F71" i="7"/>
  <c r="C70" i="7"/>
  <c r="E68" i="7"/>
  <c r="F67" i="7"/>
  <c r="C66" i="7"/>
  <c r="E64" i="7"/>
  <c r="F63" i="7"/>
  <c r="C62" i="7"/>
  <c r="E60" i="7"/>
  <c r="F59" i="7"/>
  <c r="C58" i="7"/>
  <c r="E56" i="7"/>
  <c r="F55" i="7"/>
  <c r="C54" i="7"/>
  <c r="E52" i="7"/>
  <c r="F51" i="7"/>
  <c r="C50" i="7"/>
  <c r="E48" i="7"/>
  <c r="F47" i="7"/>
  <c r="C46" i="7"/>
  <c r="E44" i="7"/>
  <c r="F43" i="7"/>
  <c r="C42" i="7"/>
  <c r="C40" i="7"/>
  <c r="E119" i="7"/>
  <c r="F118" i="7"/>
  <c r="C117" i="7"/>
  <c r="E115" i="7"/>
  <c r="F114" i="7"/>
  <c r="C113" i="7"/>
  <c r="E111" i="7"/>
  <c r="F110" i="7"/>
  <c r="C109" i="7"/>
  <c r="E107" i="7"/>
  <c r="F106" i="7"/>
  <c r="C105" i="7"/>
  <c r="E103" i="7"/>
  <c r="F102" i="7"/>
  <c r="C101" i="7"/>
  <c r="E99" i="7"/>
  <c r="F98" i="7"/>
  <c r="C97" i="7"/>
  <c r="E95" i="7"/>
  <c r="F94" i="7"/>
  <c r="C93" i="7"/>
  <c r="E91" i="7"/>
  <c r="F90" i="7"/>
  <c r="C89" i="7"/>
  <c r="E87" i="7"/>
  <c r="F86" i="7"/>
  <c r="C85" i="7"/>
  <c r="E83" i="7"/>
  <c r="F82" i="7"/>
  <c r="C81" i="7"/>
  <c r="E79" i="7"/>
  <c r="F78" i="7"/>
  <c r="C77" i="7"/>
  <c r="E75" i="7"/>
  <c r="F74" i="7"/>
  <c r="C73" i="7"/>
  <c r="E71" i="7"/>
  <c r="F70" i="7"/>
  <c r="C69" i="7"/>
  <c r="E67" i="7"/>
  <c r="F66" i="7"/>
  <c r="C65" i="7"/>
  <c r="E63" i="7"/>
  <c r="F62" i="7"/>
  <c r="C120" i="7"/>
  <c r="E118" i="7"/>
  <c r="F117" i="7"/>
  <c r="C116" i="7"/>
  <c r="E114" i="7"/>
  <c r="F113" i="7"/>
  <c r="C112" i="7"/>
  <c r="E110" i="7"/>
  <c r="F109" i="7"/>
  <c r="C108" i="7"/>
  <c r="E106" i="7"/>
  <c r="F105" i="7"/>
  <c r="C104" i="7"/>
  <c r="E102" i="7"/>
  <c r="F101" i="7"/>
  <c r="C100" i="7"/>
  <c r="E98" i="7"/>
  <c r="F97" i="7"/>
  <c r="C96" i="7"/>
  <c r="E94" i="7"/>
  <c r="F93" i="7"/>
  <c r="C92" i="7"/>
  <c r="E90" i="7"/>
  <c r="F89" i="7"/>
  <c r="C88" i="7"/>
  <c r="E86" i="7"/>
  <c r="F85" i="7"/>
  <c r="C84" i="7"/>
  <c r="E82" i="7"/>
  <c r="F81" i="7"/>
  <c r="C80" i="7"/>
  <c r="E78" i="7"/>
  <c r="F77" i="7"/>
  <c r="C76" i="7"/>
  <c r="E74" i="7"/>
  <c r="F73" i="7"/>
  <c r="C72" i="7"/>
  <c r="E70" i="7"/>
  <c r="F69" i="7"/>
  <c r="C68" i="7"/>
  <c r="E66" i="7"/>
  <c r="F65" i="7"/>
  <c r="C64" i="7"/>
  <c r="E62" i="7"/>
  <c r="F61" i="7"/>
  <c r="C60" i="7"/>
  <c r="E58" i="7"/>
  <c r="F57" i="7"/>
  <c r="C56" i="7"/>
  <c r="E54" i="7"/>
  <c r="F53" i="7"/>
  <c r="C52" i="7"/>
  <c r="E50" i="7"/>
  <c r="F49" i="7"/>
  <c r="C48" i="7"/>
  <c r="E46" i="7"/>
  <c r="F45" i="7"/>
  <c r="C44" i="7"/>
  <c r="E42" i="7"/>
  <c r="F41" i="7"/>
  <c r="E40" i="7"/>
  <c r="F39" i="7"/>
  <c r="F116" i="7"/>
  <c r="E113" i="7"/>
  <c r="C107" i="7"/>
  <c r="F100" i="7"/>
  <c r="E97" i="7"/>
  <c r="C91" i="7"/>
  <c r="F84" i="7"/>
  <c r="E81" i="7"/>
  <c r="C75" i="7"/>
  <c r="F68" i="7"/>
  <c r="E65" i="7"/>
  <c r="F60" i="7"/>
  <c r="C59" i="7"/>
  <c r="E57" i="7"/>
  <c r="F52" i="7"/>
  <c r="C51" i="7"/>
  <c r="E49" i="7"/>
  <c r="F44" i="7"/>
  <c r="C43" i="7"/>
  <c r="E41" i="7"/>
  <c r="E39" i="7"/>
  <c r="C38" i="7"/>
  <c r="E36" i="7"/>
  <c r="F35" i="7"/>
  <c r="C34" i="7"/>
  <c r="E32" i="7"/>
  <c r="F31" i="7"/>
  <c r="C30" i="7"/>
  <c r="C28" i="7"/>
  <c r="AG27" i="7"/>
  <c r="S27" i="7"/>
  <c r="F27" i="7"/>
  <c r="E26" i="7"/>
  <c r="F25" i="7"/>
  <c r="O24" i="7"/>
  <c r="K24" i="7"/>
  <c r="F24" i="7"/>
  <c r="AF23" i="7"/>
  <c r="AB23" i="7"/>
  <c r="O23" i="7"/>
  <c r="K23" i="7"/>
  <c r="F23" i="7"/>
  <c r="AC22" i="7"/>
  <c r="Y22" i="7"/>
  <c r="I22" i="7"/>
  <c r="AF21" i="7"/>
  <c r="AB21" i="7"/>
  <c r="I21" i="7"/>
  <c r="AC20" i="7"/>
  <c r="Y20" i="7"/>
  <c r="F20" i="7"/>
  <c r="F19" i="7"/>
  <c r="C18" i="7"/>
  <c r="E16" i="7"/>
  <c r="F15" i="7"/>
  <c r="C14" i="7"/>
  <c r="F12" i="7"/>
  <c r="C119" i="7"/>
  <c r="F112" i="7"/>
  <c r="E109" i="7"/>
  <c r="C103" i="7"/>
  <c r="F96" i="7"/>
  <c r="E93" i="7"/>
  <c r="C87" i="7"/>
  <c r="F80" i="7"/>
  <c r="E77" i="7"/>
  <c r="C71" i="7"/>
  <c r="F64" i="7"/>
  <c r="F58" i="7"/>
  <c r="C57" i="7"/>
  <c r="E55" i="7"/>
  <c r="F50" i="7"/>
  <c r="C49" i="7"/>
  <c r="E47" i="7"/>
  <c r="F42" i="7"/>
  <c r="C41" i="7"/>
  <c r="C39" i="7"/>
  <c r="F38" i="7"/>
  <c r="C37" i="7"/>
  <c r="E35" i="7"/>
  <c r="F34" i="7"/>
  <c r="C33" i="7"/>
  <c r="E31" i="7"/>
  <c r="F30" i="7"/>
  <c r="C29" i="7"/>
  <c r="F28" i="7"/>
  <c r="AD27" i="7"/>
  <c r="P27" i="7"/>
  <c r="E27" i="7"/>
  <c r="E25" i="7"/>
  <c r="R24" i="7"/>
  <c r="N24" i="7"/>
  <c r="E24" i="7"/>
  <c r="AI23" i="7"/>
  <c r="AE23" i="7"/>
  <c r="R23" i="7"/>
  <c r="N23" i="7"/>
  <c r="E23" i="7"/>
  <c r="AF22" i="7"/>
  <c r="AB22" i="7"/>
  <c r="L22" i="7"/>
  <c r="H22" i="7"/>
  <c r="C22" i="7"/>
  <c r="AE21" i="7"/>
  <c r="L21" i="7"/>
  <c r="C115" i="7"/>
  <c r="F108" i="7"/>
  <c r="E105" i="7"/>
  <c r="C99" i="7"/>
  <c r="F92" i="7"/>
  <c r="E89" i="7"/>
  <c r="C83" i="7"/>
  <c r="F76" i="7"/>
  <c r="E73" i="7"/>
  <c r="C67" i="7"/>
  <c r="E61" i="7"/>
  <c r="F56" i="7"/>
  <c r="C55" i="7"/>
  <c r="E53" i="7"/>
  <c r="F48" i="7"/>
  <c r="C47" i="7"/>
  <c r="E45" i="7"/>
  <c r="E38" i="7"/>
  <c r="F37" i="7"/>
  <c r="C36" i="7"/>
  <c r="E34" i="7"/>
  <c r="F33" i="7"/>
  <c r="C32" i="7"/>
  <c r="E30" i="7"/>
  <c r="F29" i="7"/>
  <c r="E28" i="7"/>
  <c r="AM27" i="7"/>
  <c r="AA27" i="7"/>
  <c r="M27" i="7"/>
  <c r="C26" i="7"/>
  <c r="U24" i="7"/>
  <c r="Q24" i="7"/>
  <c r="I24" i="7"/>
  <c r="AL23" i="7"/>
  <c r="AH23" i="7"/>
  <c r="Z23" i="7"/>
  <c r="Q23" i="7"/>
  <c r="I23" i="7"/>
  <c r="AI22" i="7"/>
  <c r="AE22" i="7"/>
  <c r="O22" i="7"/>
  <c r="K22" i="7"/>
  <c r="F22" i="7"/>
  <c r="Z21" i="7"/>
  <c r="K21" i="7"/>
  <c r="F21" i="7"/>
  <c r="I20" i="7"/>
  <c r="Z19" i="7"/>
  <c r="E18" i="7"/>
  <c r="F17" i="7"/>
  <c r="C16" i="7"/>
  <c r="E14" i="7"/>
  <c r="F13" i="7"/>
  <c r="E117" i="7"/>
  <c r="F104" i="7"/>
  <c r="C79" i="7"/>
  <c r="E51" i="7"/>
  <c r="C45" i="7"/>
  <c r="E37" i="7"/>
  <c r="F32" i="7"/>
  <c r="E29" i="7"/>
  <c r="C27" i="7"/>
  <c r="L24" i="7"/>
  <c r="L23" i="7"/>
  <c r="E22" i="7"/>
  <c r="H20" i="7"/>
  <c r="Y19" i="7"/>
  <c r="F16" i="7"/>
  <c r="C15" i="7"/>
  <c r="E13" i="7"/>
  <c r="E10" i="7"/>
  <c r="E69" i="7"/>
  <c r="C53" i="7"/>
  <c r="F40" i="7"/>
  <c r="J27" i="7"/>
  <c r="AK23" i="7"/>
  <c r="Y21" i="7"/>
  <c r="E15" i="7"/>
  <c r="E11" i="7"/>
  <c r="E101" i="7"/>
  <c r="F88" i="7"/>
  <c r="C63" i="7"/>
  <c r="E43" i="7"/>
  <c r="C35" i="7"/>
  <c r="AJ27" i="7"/>
  <c r="C25" i="7"/>
  <c r="H24" i="7"/>
  <c r="AC23" i="7"/>
  <c r="H23" i="7"/>
  <c r="Z22" i="7"/>
  <c r="H21" i="7"/>
  <c r="AB20" i="7"/>
  <c r="E20" i="7"/>
  <c r="E19" i="7"/>
  <c r="F14" i="7"/>
  <c r="C13" i="7"/>
  <c r="E12" i="7"/>
  <c r="C11" i="7"/>
  <c r="C21" i="7"/>
  <c r="C17" i="7"/>
  <c r="F10" i="7"/>
  <c r="C111" i="7"/>
  <c r="E85" i="7"/>
  <c r="F72" i="7"/>
  <c r="C61" i="7"/>
  <c r="F54" i="7"/>
  <c r="F36" i="7"/>
  <c r="C31" i="7"/>
  <c r="V27" i="7"/>
  <c r="T24" i="7"/>
  <c r="C24" i="7"/>
  <c r="Y23" i="7"/>
  <c r="C23" i="7"/>
  <c r="N22" i="7"/>
  <c r="AC21" i="7"/>
  <c r="E21" i="7"/>
  <c r="Z20" i="7"/>
  <c r="C20" i="7"/>
  <c r="C19" i="7"/>
  <c r="E17" i="7"/>
  <c r="C12" i="7"/>
  <c r="F11" i="7"/>
  <c r="C10" i="7"/>
  <c r="G1" i="7"/>
  <c r="G3" i="7" s="1"/>
  <c r="C95" i="7"/>
  <c r="E59" i="7"/>
  <c r="F46" i="7"/>
  <c r="E33" i="7"/>
  <c r="F26" i="7"/>
  <c r="AH22" i="7"/>
  <c r="F18" i="7"/>
  <c r="O15" i="11"/>
  <c r="D30" i="11" l="1"/>
  <c r="D46" i="11"/>
  <c r="D14" i="11"/>
  <c r="J12" i="11"/>
  <c r="D34" i="11"/>
  <c r="D50" i="11"/>
  <c r="D16" i="11"/>
  <c r="D22" i="11"/>
  <c r="D38" i="11"/>
  <c r="D20" i="11"/>
  <c r="K20" i="11"/>
  <c r="K21" i="11"/>
  <c r="D26" i="11"/>
  <c r="D42" i="11"/>
  <c r="D15" i="11"/>
  <c r="O17" i="11"/>
  <c r="D23" i="11"/>
  <c r="D27" i="11"/>
  <c r="D31" i="11"/>
  <c r="D35" i="11"/>
  <c r="D39" i="11"/>
  <c r="D43" i="11"/>
  <c r="D47" i="11"/>
  <c r="D51" i="11"/>
  <c r="D55" i="11"/>
  <c r="D59" i="11"/>
  <c r="D75" i="11"/>
  <c r="D54" i="11"/>
  <c r="D58" i="11"/>
  <c r="D103" i="11"/>
  <c r="D18" i="11"/>
  <c r="D24" i="11"/>
  <c r="D28" i="11"/>
  <c r="D32" i="11"/>
  <c r="D36" i="11"/>
  <c r="D40" i="11"/>
  <c r="D44" i="11"/>
  <c r="D48" i="11"/>
  <c r="D52" i="11"/>
  <c r="D56" i="11"/>
  <c r="D60" i="11"/>
  <c r="D79" i="11"/>
  <c r="D87" i="11"/>
  <c r="D65" i="11"/>
  <c r="D71" i="11"/>
  <c r="D10" i="11"/>
  <c r="D12" i="11"/>
  <c r="D11" i="11"/>
  <c r="D13" i="11"/>
  <c r="D17" i="11"/>
  <c r="D19" i="11"/>
  <c r="D21" i="11"/>
  <c r="D25" i="11"/>
  <c r="D29" i="11"/>
  <c r="D33" i="11"/>
  <c r="D37" i="11"/>
  <c r="D41" i="11"/>
  <c r="D45" i="11"/>
  <c r="D49" i="11"/>
  <c r="D53" i="11"/>
  <c r="D57" i="11"/>
  <c r="D61" i="11"/>
  <c r="D63" i="11"/>
  <c r="D67" i="11"/>
  <c r="D83" i="11"/>
  <c r="D95" i="11"/>
  <c r="D64" i="11"/>
  <c r="D68" i="11"/>
  <c r="D72" i="11"/>
  <c r="D76" i="11"/>
  <c r="D80" i="11"/>
  <c r="D89" i="11"/>
  <c r="D97" i="11"/>
  <c r="D105" i="11"/>
  <c r="D107" i="11"/>
  <c r="D115" i="11"/>
  <c r="D69" i="11"/>
  <c r="D73" i="11"/>
  <c r="D77" i="11"/>
  <c r="D81" i="11"/>
  <c r="D91" i="11"/>
  <c r="D99" i="11"/>
  <c r="D111" i="11"/>
  <c r="D119" i="11"/>
  <c r="D62" i="11"/>
  <c r="D66" i="11"/>
  <c r="D70" i="11"/>
  <c r="D74" i="11"/>
  <c r="D78" i="11"/>
  <c r="D82" i="11"/>
  <c r="D85" i="11"/>
  <c r="D93" i="11"/>
  <c r="D101" i="11"/>
  <c r="D84" i="11"/>
  <c r="D88" i="11"/>
  <c r="D92" i="11"/>
  <c r="D96" i="11"/>
  <c r="D100" i="11"/>
  <c r="D104" i="11"/>
  <c r="D108" i="11"/>
  <c r="D112" i="11"/>
  <c r="D116" i="11"/>
  <c r="E120" i="11"/>
  <c r="D120" i="11"/>
  <c r="D109" i="11"/>
  <c r="D113" i="11"/>
  <c r="D117" i="11"/>
  <c r="D86" i="11"/>
  <c r="D90" i="11"/>
  <c r="D94" i="11"/>
  <c r="D98" i="11"/>
  <c r="D102" i="11"/>
  <c r="D106" i="11"/>
  <c r="D110" i="11"/>
  <c r="D114" i="11"/>
  <c r="D118" i="11"/>
  <c r="H23" i="11"/>
  <c r="AJ22" i="7"/>
  <c r="D95" i="7"/>
  <c r="Q38" i="7"/>
  <c r="Q36" i="7"/>
  <c r="Q35" i="7"/>
  <c r="Q39" i="7"/>
  <c r="Q7" i="7"/>
  <c r="R40" i="7" s="1"/>
  <c r="Q37" i="7"/>
  <c r="D10" i="7"/>
  <c r="D12" i="7"/>
  <c r="D19" i="7"/>
  <c r="D20" i="7"/>
  <c r="P22" i="7"/>
  <c r="D23" i="7"/>
  <c r="AA23" i="7"/>
  <c r="D24" i="7"/>
  <c r="V24" i="7"/>
  <c r="V26" i="7" s="1"/>
  <c r="P11" i="7" s="1"/>
  <c r="V28" i="7"/>
  <c r="D31" i="7"/>
  <c r="D61" i="7"/>
  <c r="D111" i="7"/>
  <c r="D17" i="7"/>
  <c r="D21" i="7"/>
  <c r="D11" i="7"/>
  <c r="D13" i="7"/>
  <c r="AD20" i="7"/>
  <c r="J21" i="7"/>
  <c r="J23" i="7"/>
  <c r="J24" i="7"/>
  <c r="D25" i="7"/>
  <c r="D35" i="7"/>
  <c r="D63" i="7"/>
  <c r="AA21" i="7"/>
  <c r="AM23" i="7"/>
  <c r="AM26" i="7" s="1"/>
  <c r="P12" i="7" s="1"/>
  <c r="D53" i="7"/>
  <c r="D15" i="7"/>
  <c r="AA19" i="7"/>
  <c r="AA26" i="7" s="1"/>
  <c r="L12" i="7" s="1"/>
  <c r="J20" i="7"/>
  <c r="D27" i="7"/>
  <c r="D45" i="7"/>
  <c r="D79" i="7"/>
  <c r="D16" i="7"/>
  <c r="M21" i="7"/>
  <c r="M22" i="7"/>
  <c r="AG22" i="7"/>
  <c r="S23" i="7"/>
  <c r="AJ23" i="7"/>
  <c r="S24" i="7"/>
  <c r="D26" i="7"/>
  <c r="D32" i="7"/>
  <c r="D36" i="7"/>
  <c r="D47" i="7"/>
  <c r="D55" i="7"/>
  <c r="D67" i="7"/>
  <c r="D83" i="7"/>
  <c r="D99" i="7"/>
  <c r="D115" i="7"/>
  <c r="AG21" i="7"/>
  <c r="D22" i="7"/>
  <c r="J22" i="7"/>
  <c r="AD22" i="7"/>
  <c r="P23" i="7"/>
  <c r="AG23" i="7"/>
  <c r="P24" i="7"/>
  <c r="D29" i="7"/>
  <c r="D33" i="7"/>
  <c r="D37" i="7"/>
  <c r="D39" i="7"/>
  <c r="D41" i="7"/>
  <c r="D49" i="7"/>
  <c r="D57" i="7"/>
  <c r="D71" i="7"/>
  <c r="D87" i="7"/>
  <c r="D103" i="7"/>
  <c r="D119" i="7"/>
  <c r="D14" i="7"/>
  <c r="D18" i="7"/>
  <c r="AA20" i="7"/>
  <c r="AD21" i="7"/>
  <c r="AA22" i="7"/>
  <c r="M23" i="7"/>
  <c r="AD23" i="7"/>
  <c r="M24" i="7"/>
  <c r="D28" i="7"/>
  <c r="D30" i="7"/>
  <c r="D34" i="7"/>
  <c r="D38" i="7"/>
  <c r="D43" i="7"/>
  <c r="D51" i="7"/>
  <c r="D59" i="7"/>
  <c r="D75" i="7"/>
  <c r="D91" i="7"/>
  <c r="D107" i="7"/>
  <c r="D44" i="7"/>
  <c r="D48" i="7"/>
  <c r="D52" i="7"/>
  <c r="D56" i="7"/>
  <c r="D60" i="7"/>
  <c r="D64" i="7"/>
  <c r="D68" i="7"/>
  <c r="D72" i="7"/>
  <c r="D76" i="7"/>
  <c r="D80" i="7"/>
  <c r="D84" i="7"/>
  <c r="D88" i="7"/>
  <c r="D92" i="7"/>
  <c r="D96" i="7"/>
  <c r="D100" i="7"/>
  <c r="D104" i="7"/>
  <c r="D108" i="7"/>
  <c r="D112" i="7"/>
  <c r="D116" i="7"/>
  <c r="E120" i="7"/>
  <c r="D120" i="7"/>
  <c r="D65" i="7"/>
  <c r="D69" i="7"/>
  <c r="D73" i="7"/>
  <c r="D77" i="7"/>
  <c r="D81" i="7"/>
  <c r="D85" i="7"/>
  <c r="D89" i="7"/>
  <c r="D93" i="7"/>
  <c r="D97" i="7"/>
  <c r="D101" i="7"/>
  <c r="D105" i="7"/>
  <c r="D109" i="7"/>
  <c r="D113" i="7"/>
  <c r="D117" i="7"/>
  <c r="D40" i="7"/>
  <c r="D42" i="7"/>
  <c r="D46" i="7"/>
  <c r="D50" i="7"/>
  <c r="D54" i="7"/>
  <c r="D58" i="7"/>
  <c r="D62" i="7"/>
  <c r="D66" i="7"/>
  <c r="D70" i="7"/>
  <c r="D74" i="7"/>
  <c r="D78" i="7"/>
  <c r="D82" i="7"/>
  <c r="D86" i="7"/>
  <c r="D90" i="7"/>
  <c r="D94" i="7"/>
  <c r="D98" i="7"/>
  <c r="D102" i="7"/>
  <c r="D106" i="7"/>
  <c r="D110" i="7"/>
  <c r="D114" i="7"/>
  <c r="D118" i="7"/>
  <c r="I23" i="11"/>
  <c r="J22" i="11"/>
  <c r="P38" i="7"/>
  <c r="P39" i="7"/>
  <c r="P37" i="7"/>
  <c r="P35" i="7"/>
  <c r="M8" i="7"/>
  <c r="P36" i="7"/>
  <c r="K22" i="11" l="1"/>
  <c r="H24" i="11"/>
  <c r="D8" i="11"/>
  <c r="O12" i="11"/>
  <c r="AG26" i="7"/>
  <c r="AM28" i="7"/>
  <c r="AD26" i="7"/>
  <c r="AA28" i="7"/>
  <c r="M26" i="7"/>
  <c r="P7" i="7"/>
  <c r="R39" i="7" s="1"/>
  <c r="P26" i="7"/>
  <c r="D8" i="7"/>
  <c r="S26" i="7"/>
  <c r="J26" i="7"/>
  <c r="AJ26" i="7"/>
  <c r="J23" i="11"/>
  <c r="I24" i="11"/>
  <c r="N8" i="7"/>
  <c r="K23" i="11" l="1"/>
  <c r="H25" i="11"/>
  <c r="O11" i="7"/>
  <c r="S28" i="7"/>
  <c r="M11" i="7"/>
  <c r="M28" i="7"/>
  <c r="N12" i="7"/>
  <c r="AG28" i="7"/>
  <c r="L11" i="7"/>
  <c r="L7" i="7" s="1"/>
  <c r="J28" i="7"/>
  <c r="O12" i="7"/>
  <c r="AJ28" i="7"/>
  <c r="N11" i="7"/>
  <c r="P28" i="7"/>
  <c r="M12" i="7"/>
  <c r="AD28" i="7"/>
  <c r="I25" i="11"/>
  <c r="J24" i="11"/>
  <c r="O8" i="7"/>
  <c r="K24" i="11" l="1"/>
  <c r="H26" i="11"/>
  <c r="O9" i="7"/>
  <c r="O7" i="7"/>
  <c r="R38" i="7" s="1"/>
  <c r="N7" i="7"/>
  <c r="R35" i="7"/>
  <c r="L9" i="7"/>
  <c r="M7" i="7"/>
  <c r="J25" i="11"/>
  <c r="I26" i="11"/>
  <c r="P8" i="7"/>
  <c r="L2" i="18"/>
  <c r="L1" i="18"/>
  <c r="L3" i="18"/>
  <c r="J15" i="11"/>
  <c r="J11" i="11" l="1"/>
  <c r="J17" i="11"/>
  <c r="K25" i="11"/>
  <c r="H27" i="11"/>
  <c r="P9" i="7"/>
  <c r="R37" i="7"/>
  <c r="N9" i="7"/>
  <c r="R36" i="7"/>
  <c r="M9" i="7"/>
  <c r="I27" i="11"/>
  <c r="J26" i="11"/>
  <c r="Q8" i="7"/>
  <c r="K26" i="11" l="1"/>
  <c r="O11" i="11"/>
  <c r="K13" i="11"/>
  <c r="J13" i="11"/>
  <c r="H28" i="11"/>
  <c r="Q9" i="7"/>
  <c r="J27" i="11"/>
  <c r="I28" i="11"/>
  <c r="K27" i="11" l="1"/>
  <c r="H29" i="11"/>
  <c r="P13" i="11"/>
  <c r="O13" i="11"/>
  <c r="E12" i="21"/>
  <c r="I29" i="11"/>
  <c r="J28" i="11"/>
  <c r="K28" i="11" l="1"/>
  <c r="H30" i="11"/>
  <c r="A16" i="21"/>
  <c r="A23" i="21" s="1"/>
  <c r="H120" i="18"/>
  <c r="C120" i="18"/>
  <c r="C119" i="18"/>
  <c r="D119" i="18" s="1"/>
  <c r="C118" i="18"/>
  <c r="D118" i="18" s="1"/>
  <c r="C117" i="18"/>
  <c r="D117" i="18" s="1"/>
  <c r="C116" i="18"/>
  <c r="D116" i="18" s="1"/>
  <c r="C115" i="18"/>
  <c r="D115" i="18" s="1"/>
  <c r="C114" i="18"/>
  <c r="D114" i="18" s="1"/>
  <c r="C113" i="18"/>
  <c r="D113" i="18" s="1"/>
  <c r="C112" i="18"/>
  <c r="D112" i="18" s="1"/>
  <c r="C111" i="18"/>
  <c r="D111" i="18" s="1"/>
  <c r="C110" i="18"/>
  <c r="D110" i="18" s="1"/>
  <c r="C109" i="18"/>
  <c r="D109" i="18" s="1"/>
  <c r="C108" i="18"/>
  <c r="D108" i="18" s="1"/>
  <c r="C107" i="18"/>
  <c r="D107" i="18" s="1"/>
  <c r="C106" i="18"/>
  <c r="D106" i="18" s="1"/>
  <c r="C105" i="18"/>
  <c r="D105" i="18" s="1"/>
  <c r="C104" i="18"/>
  <c r="D104" i="18" s="1"/>
  <c r="C103" i="18"/>
  <c r="D103" i="18" s="1"/>
  <c r="C102" i="18"/>
  <c r="D102" i="18" s="1"/>
  <c r="C101" i="18"/>
  <c r="D101" i="18" s="1"/>
  <c r="C100" i="18"/>
  <c r="D100" i="18" s="1"/>
  <c r="C99" i="18"/>
  <c r="D99" i="18" s="1"/>
  <c r="C98" i="18"/>
  <c r="D98" i="18" s="1"/>
  <c r="C97" i="18"/>
  <c r="D97" i="18" s="1"/>
  <c r="C96" i="18"/>
  <c r="D96" i="18" s="1"/>
  <c r="C95" i="18"/>
  <c r="D95" i="18" s="1"/>
  <c r="C94" i="18"/>
  <c r="D94" i="18" s="1"/>
  <c r="C93" i="18"/>
  <c r="D93" i="18" s="1"/>
  <c r="C92" i="18"/>
  <c r="D92" i="18" s="1"/>
  <c r="C91" i="18"/>
  <c r="D91" i="18" s="1"/>
  <c r="C90" i="18"/>
  <c r="D90" i="18" s="1"/>
  <c r="C89" i="18"/>
  <c r="D89" i="18" s="1"/>
  <c r="C88" i="18"/>
  <c r="D88" i="18" s="1"/>
  <c r="C87" i="18"/>
  <c r="D87" i="18" s="1"/>
  <c r="C86" i="18"/>
  <c r="D86" i="18" s="1"/>
  <c r="C85" i="18"/>
  <c r="D85" i="18" s="1"/>
  <c r="C84" i="18"/>
  <c r="D84" i="18" s="1"/>
  <c r="C83" i="18"/>
  <c r="D83" i="18" s="1"/>
  <c r="C82" i="18"/>
  <c r="D82" i="18" s="1"/>
  <c r="C81" i="18"/>
  <c r="D81" i="18" s="1"/>
  <c r="C80" i="18"/>
  <c r="D80" i="18" s="1"/>
  <c r="C79" i="18"/>
  <c r="D79" i="18" s="1"/>
  <c r="C78" i="18"/>
  <c r="D78" i="18" s="1"/>
  <c r="C77" i="18"/>
  <c r="D77" i="18" s="1"/>
  <c r="C76" i="18"/>
  <c r="D76" i="18" s="1"/>
  <c r="C75" i="18"/>
  <c r="D75" i="18" s="1"/>
  <c r="C74" i="18"/>
  <c r="D74" i="18" s="1"/>
  <c r="C73" i="18"/>
  <c r="D73" i="18" s="1"/>
  <c r="C72" i="18"/>
  <c r="D72" i="18" s="1"/>
  <c r="C71" i="18"/>
  <c r="D71" i="18" s="1"/>
  <c r="C70" i="18"/>
  <c r="D70" i="18" s="1"/>
  <c r="C69" i="18"/>
  <c r="D69" i="18" s="1"/>
  <c r="C68" i="18"/>
  <c r="D68" i="18" s="1"/>
  <c r="C67" i="18"/>
  <c r="D67" i="18" s="1"/>
  <c r="C66" i="18"/>
  <c r="D66" i="18" s="1"/>
  <c r="C65" i="18"/>
  <c r="D65" i="18" s="1"/>
  <c r="C64" i="18"/>
  <c r="D64" i="18" s="1"/>
  <c r="C63" i="18"/>
  <c r="D63" i="18" s="1"/>
  <c r="C62" i="18"/>
  <c r="D62" i="18" s="1"/>
  <c r="C61" i="18"/>
  <c r="D61" i="18" s="1"/>
  <c r="C60" i="18"/>
  <c r="D60" i="18" s="1"/>
  <c r="C59" i="18"/>
  <c r="D59" i="18" s="1"/>
  <c r="C58" i="18"/>
  <c r="D58" i="18" s="1"/>
  <c r="C57" i="18"/>
  <c r="D57" i="18" s="1"/>
  <c r="C56" i="18"/>
  <c r="D56" i="18" s="1"/>
  <c r="C55" i="18"/>
  <c r="D55" i="18" s="1"/>
  <c r="C54" i="18"/>
  <c r="D54" i="18" s="1"/>
  <c r="C53" i="18"/>
  <c r="D53" i="18" s="1"/>
  <c r="C52" i="18"/>
  <c r="D52" i="18" s="1"/>
  <c r="C51" i="18"/>
  <c r="D51" i="18" s="1"/>
  <c r="C50" i="18"/>
  <c r="D50" i="18" s="1"/>
  <c r="C49" i="18"/>
  <c r="D49" i="18" s="1"/>
  <c r="C48" i="18"/>
  <c r="D48" i="18" s="1"/>
  <c r="C47" i="18"/>
  <c r="D47" i="18" s="1"/>
  <c r="D46" i="18"/>
  <c r="C46" i="18"/>
  <c r="C45" i="18"/>
  <c r="D45" i="18" s="1"/>
  <c r="C44" i="18"/>
  <c r="D44" i="18" s="1"/>
  <c r="C43" i="18"/>
  <c r="D43" i="18" s="1"/>
  <c r="C42" i="18"/>
  <c r="D42" i="18" s="1"/>
  <c r="C41" i="18"/>
  <c r="D41" i="18" s="1"/>
  <c r="C40" i="18"/>
  <c r="D40" i="18" s="1"/>
  <c r="C39" i="18"/>
  <c r="D39" i="18" s="1"/>
  <c r="C38" i="18"/>
  <c r="D38" i="18" s="1"/>
  <c r="C37" i="18"/>
  <c r="D37" i="18" s="1"/>
  <c r="C36" i="18"/>
  <c r="D36" i="18" s="1"/>
  <c r="C35" i="18"/>
  <c r="D35" i="18" s="1"/>
  <c r="C34" i="18"/>
  <c r="D34" i="18" s="1"/>
  <c r="C33" i="18"/>
  <c r="D33" i="18" s="1"/>
  <c r="C32" i="18"/>
  <c r="D32" i="18" s="1"/>
  <c r="C31" i="18"/>
  <c r="D31" i="18" s="1"/>
  <c r="C30" i="18"/>
  <c r="D30" i="18" s="1"/>
  <c r="C29" i="18"/>
  <c r="D29" i="18" s="1"/>
  <c r="C28" i="18"/>
  <c r="D28" i="18" s="1"/>
  <c r="C27" i="18"/>
  <c r="D27" i="18" s="1"/>
  <c r="C26" i="18"/>
  <c r="D26" i="18" s="1"/>
  <c r="C25" i="18"/>
  <c r="D25" i="18" s="1"/>
  <c r="C24" i="18"/>
  <c r="D24" i="18" s="1"/>
  <c r="C23" i="18"/>
  <c r="D23" i="18" s="1"/>
  <c r="C22" i="18"/>
  <c r="D22" i="18" s="1"/>
  <c r="C21" i="18"/>
  <c r="D21" i="18" s="1"/>
  <c r="C20" i="18"/>
  <c r="D20" i="18" s="1"/>
  <c r="C19" i="18"/>
  <c r="D19" i="18" s="1"/>
  <c r="C18" i="18"/>
  <c r="D18" i="18" s="1"/>
  <c r="C17" i="18"/>
  <c r="D17" i="18" s="1"/>
  <c r="C16" i="18"/>
  <c r="D16" i="18" s="1"/>
  <c r="C15" i="18"/>
  <c r="D15" i="18" s="1"/>
  <c r="C14" i="18"/>
  <c r="D14" i="18" s="1"/>
  <c r="C13" i="18"/>
  <c r="D13" i="18" s="1"/>
  <c r="C12" i="18"/>
  <c r="D12" i="18" s="1"/>
  <c r="C11" i="18"/>
  <c r="D11" i="18" s="1"/>
  <c r="A11" i="18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E10" i="18"/>
  <c r="C10" i="18"/>
  <c r="D10" i="18" s="1"/>
  <c r="J29" i="11"/>
  <c r="I30" i="11"/>
  <c r="L5" i="18"/>
  <c r="G10" i="18" a="1"/>
  <c r="K29" i="11" l="1"/>
  <c r="H31" i="11"/>
  <c r="E11" i="18"/>
  <c r="F10" i="18" s="1"/>
  <c r="H10" i="18" s="1"/>
  <c r="A30" i="21"/>
  <c r="G12" i="18"/>
  <c r="G16" i="18"/>
  <c r="G20" i="18"/>
  <c r="G24" i="18"/>
  <c r="G28" i="18"/>
  <c r="G32" i="18"/>
  <c r="G36" i="18"/>
  <c r="G40" i="18"/>
  <c r="G44" i="18"/>
  <c r="G48" i="18"/>
  <c r="G52" i="18"/>
  <c r="G56" i="18"/>
  <c r="G60" i="18"/>
  <c r="G64" i="18"/>
  <c r="G68" i="18"/>
  <c r="G72" i="18"/>
  <c r="G76" i="18"/>
  <c r="G80" i="18"/>
  <c r="G84" i="18"/>
  <c r="G88" i="18"/>
  <c r="G92" i="18"/>
  <c r="G96" i="18"/>
  <c r="G100" i="18"/>
  <c r="G104" i="18"/>
  <c r="G108" i="18"/>
  <c r="G112" i="18"/>
  <c r="G116" i="18"/>
  <c r="G120" i="18"/>
  <c r="G13" i="18"/>
  <c r="G17" i="18"/>
  <c r="G21" i="18"/>
  <c r="G25" i="18"/>
  <c r="G29" i="18"/>
  <c r="G33" i="18"/>
  <c r="G37" i="18"/>
  <c r="G41" i="18"/>
  <c r="G45" i="18"/>
  <c r="G49" i="18"/>
  <c r="G53" i="18"/>
  <c r="G57" i="18"/>
  <c r="G61" i="18"/>
  <c r="G65" i="18"/>
  <c r="G69" i="18"/>
  <c r="G73" i="18"/>
  <c r="G77" i="18"/>
  <c r="G81" i="18"/>
  <c r="G85" i="18"/>
  <c r="G89" i="18"/>
  <c r="G93" i="18"/>
  <c r="G97" i="18"/>
  <c r="G101" i="18"/>
  <c r="G105" i="18"/>
  <c r="G109" i="18"/>
  <c r="G113" i="18"/>
  <c r="G117" i="18"/>
  <c r="G10" i="18"/>
  <c r="I10" i="18" s="1"/>
  <c r="G14" i="18"/>
  <c r="G18" i="18"/>
  <c r="G22" i="18"/>
  <c r="G26" i="18"/>
  <c r="G30" i="18"/>
  <c r="G34" i="18"/>
  <c r="G38" i="18"/>
  <c r="G42" i="18"/>
  <c r="G46" i="18"/>
  <c r="G50" i="18"/>
  <c r="G54" i="18"/>
  <c r="G58" i="18"/>
  <c r="G62" i="18"/>
  <c r="G66" i="18"/>
  <c r="G70" i="18"/>
  <c r="G74" i="18"/>
  <c r="G78" i="18"/>
  <c r="G82" i="18"/>
  <c r="G86" i="18"/>
  <c r="G90" i="18"/>
  <c r="G94" i="18"/>
  <c r="G98" i="18"/>
  <c r="G102" i="18"/>
  <c r="G106" i="18"/>
  <c r="G110" i="18"/>
  <c r="G114" i="18"/>
  <c r="G118" i="18"/>
  <c r="G11" i="18"/>
  <c r="I11" i="18" s="1"/>
  <c r="G15" i="18"/>
  <c r="G19" i="18"/>
  <c r="G23" i="18"/>
  <c r="G27" i="18"/>
  <c r="G31" i="18"/>
  <c r="G35" i="18"/>
  <c r="G39" i="18"/>
  <c r="G43" i="18"/>
  <c r="G47" i="18"/>
  <c r="G51" i="18"/>
  <c r="G55" i="18"/>
  <c r="G59" i="18"/>
  <c r="G63" i="18"/>
  <c r="G67" i="18"/>
  <c r="G71" i="18"/>
  <c r="G75" i="18"/>
  <c r="G79" i="18"/>
  <c r="G83" i="18"/>
  <c r="G87" i="18"/>
  <c r="G91" i="18"/>
  <c r="G95" i="18"/>
  <c r="G99" i="18"/>
  <c r="G103" i="18"/>
  <c r="G107" i="18"/>
  <c r="G111" i="18"/>
  <c r="G115" i="18"/>
  <c r="G119" i="18"/>
  <c r="E12" i="18"/>
  <c r="J30" i="11"/>
  <c r="I31" i="11"/>
  <c r="K30" i="11" l="1"/>
  <c r="H32" i="11"/>
  <c r="C11" i="21"/>
  <c r="C39" i="21"/>
  <c r="C32" i="21"/>
  <c r="C18" i="21"/>
  <c r="C25" i="21"/>
  <c r="C12" i="21"/>
  <c r="E18" i="21"/>
  <c r="E25" i="21"/>
  <c r="E11" i="21"/>
  <c r="E32" i="21"/>
  <c r="A37" i="21"/>
  <c r="E13" i="18"/>
  <c r="F11" i="18"/>
  <c r="H11" i="18" s="1"/>
  <c r="I12" i="18"/>
  <c r="J31" i="11"/>
  <c r="I32" i="11"/>
  <c r="K31" i="11" l="1"/>
  <c r="H33" i="11"/>
  <c r="C14" i="21"/>
  <c r="C20" i="21"/>
  <c r="E14" i="21"/>
  <c r="E39" i="21"/>
  <c r="E14" i="18"/>
  <c r="F12" i="18"/>
  <c r="H12" i="18" s="1"/>
  <c r="I13" i="18"/>
  <c r="I33" i="11"/>
  <c r="J32" i="11"/>
  <c r="K32" i="11" l="1"/>
  <c r="H34" i="11"/>
  <c r="F14" i="21"/>
  <c r="C19" i="21"/>
  <c r="C27" i="21"/>
  <c r="C26" i="21" s="1"/>
  <c r="C28" i="21" s="1"/>
  <c r="E19" i="21"/>
  <c r="E21" i="21" s="1"/>
  <c r="F13" i="18"/>
  <c r="H13" i="18" s="1"/>
  <c r="E15" i="18"/>
  <c r="I14" i="18"/>
  <c r="J33" i="11"/>
  <c r="I34" i="11"/>
  <c r="K33" i="11" l="1"/>
  <c r="H35" i="11"/>
  <c r="C21" i="21"/>
  <c r="F21" i="21" s="1"/>
  <c r="C34" i="21"/>
  <c r="C33" i="21" s="1"/>
  <c r="C35" i="21" s="1"/>
  <c r="E26" i="21"/>
  <c r="E28" i="21" s="1"/>
  <c r="F28" i="21" s="1"/>
  <c r="E16" i="18"/>
  <c r="F14" i="18"/>
  <c r="H14" i="18" s="1"/>
  <c r="I15" i="18"/>
  <c r="J34" i="11"/>
  <c r="I35" i="11"/>
  <c r="K34" i="11" l="1"/>
  <c r="H36" i="11"/>
  <c r="C41" i="21"/>
  <c r="C40" i="21" s="1"/>
  <c r="C42" i="21" s="1"/>
  <c r="E33" i="21"/>
  <c r="E35" i="21" s="1"/>
  <c r="F35" i="21" s="1"/>
  <c r="E17" i="18"/>
  <c r="F15" i="18"/>
  <c r="H15" i="18" s="1"/>
  <c r="I16" i="18"/>
  <c r="J35" i="11"/>
  <c r="I36" i="11"/>
  <c r="K35" i="11" l="1"/>
  <c r="H37" i="11"/>
  <c r="E40" i="21"/>
  <c r="E42" i="21" s="1"/>
  <c r="F42" i="21" s="1"/>
  <c r="E18" i="18"/>
  <c r="F16" i="18"/>
  <c r="H16" i="18" s="1"/>
  <c r="I17" i="18"/>
  <c r="I37" i="11"/>
  <c r="J36" i="11"/>
  <c r="K36" i="11" l="1"/>
  <c r="H38" i="11"/>
  <c r="F17" i="18"/>
  <c r="H17" i="18" s="1"/>
  <c r="E19" i="18"/>
  <c r="I18" i="18"/>
  <c r="J37" i="11"/>
  <c r="I38" i="11"/>
  <c r="K37" i="11" l="1"/>
  <c r="H39" i="11"/>
  <c r="E20" i="18"/>
  <c r="F18" i="18"/>
  <c r="H18" i="18" s="1"/>
  <c r="I19" i="18"/>
  <c r="J38" i="11"/>
  <c r="I39" i="11"/>
  <c r="K38" i="11" l="1"/>
  <c r="H40" i="11"/>
  <c r="E21" i="18"/>
  <c r="F19" i="18"/>
  <c r="H19" i="18" s="1"/>
  <c r="I20" i="18"/>
  <c r="J39" i="11"/>
  <c r="I40" i="11"/>
  <c r="K39" i="11" l="1"/>
  <c r="H41" i="11"/>
  <c r="E22" i="18"/>
  <c r="F20" i="18"/>
  <c r="H20" i="18" s="1"/>
  <c r="I21" i="18"/>
  <c r="I41" i="11"/>
  <c r="J40" i="11"/>
  <c r="K40" i="11" l="1"/>
  <c r="H42" i="11"/>
  <c r="F21" i="18"/>
  <c r="H21" i="18" s="1"/>
  <c r="E23" i="18"/>
  <c r="I22" i="18"/>
  <c r="I42" i="11"/>
  <c r="J41" i="11"/>
  <c r="K41" i="11" l="1"/>
  <c r="H43" i="11"/>
  <c r="E24" i="18"/>
  <c r="F22" i="18"/>
  <c r="H22" i="18" s="1"/>
  <c r="I23" i="18"/>
  <c r="J42" i="11"/>
  <c r="I43" i="11"/>
  <c r="K42" i="11" l="1"/>
  <c r="H44" i="11"/>
  <c r="E25" i="18"/>
  <c r="F23" i="18"/>
  <c r="H23" i="18" s="1"/>
  <c r="I24" i="18"/>
  <c r="J43" i="11"/>
  <c r="I44" i="11"/>
  <c r="K43" i="11" l="1"/>
  <c r="H45" i="11"/>
  <c r="E26" i="18"/>
  <c r="F24" i="18"/>
  <c r="H24" i="18" s="1"/>
  <c r="I25" i="18"/>
  <c r="I45" i="11"/>
  <c r="J44" i="11"/>
  <c r="K44" i="11" l="1"/>
  <c r="H46" i="11"/>
  <c r="F25" i="18"/>
  <c r="H25" i="18" s="1"/>
  <c r="E27" i="18"/>
  <c r="I26" i="18"/>
  <c r="J45" i="11"/>
  <c r="I46" i="11"/>
  <c r="K45" i="11" l="1"/>
  <c r="H47" i="11"/>
  <c r="E28" i="18"/>
  <c r="F26" i="18"/>
  <c r="H26" i="18" s="1"/>
  <c r="I27" i="18"/>
  <c r="J46" i="11"/>
  <c r="I47" i="11"/>
  <c r="K46" i="11" l="1"/>
  <c r="H48" i="11"/>
  <c r="E29" i="18"/>
  <c r="F27" i="18"/>
  <c r="H27" i="18" s="1"/>
  <c r="I28" i="18"/>
  <c r="J47" i="11"/>
  <c r="I48" i="11"/>
  <c r="K47" i="11" l="1"/>
  <c r="H49" i="11"/>
  <c r="E30" i="18"/>
  <c r="F28" i="18"/>
  <c r="H28" i="18" s="1"/>
  <c r="I29" i="18"/>
  <c r="I49" i="11"/>
  <c r="J48" i="11"/>
  <c r="K48" i="11" l="1"/>
  <c r="H50" i="11"/>
  <c r="F29" i="18"/>
  <c r="H29" i="18" s="1"/>
  <c r="E31" i="18"/>
  <c r="I30" i="18"/>
  <c r="J49" i="11"/>
  <c r="I50" i="11"/>
  <c r="K49" i="11" l="1"/>
  <c r="H51" i="11"/>
  <c r="E32" i="18"/>
  <c r="F30" i="18"/>
  <c r="H30" i="18" s="1"/>
  <c r="I31" i="18"/>
  <c r="J50" i="11"/>
  <c r="I51" i="11"/>
  <c r="K50" i="11" l="1"/>
  <c r="H52" i="11"/>
  <c r="E33" i="18"/>
  <c r="F31" i="18"/>
  <c r="H31" i="18" s="1"/>
  <c r="I32" i="18"/>
  <c r="J51" i="11"/>
  <c r="I52" i="11"/>
  <c r="K51" i="11" l="1"/>
  <c r="H53" i="11"/>
  <c r="E34" i="18"/>
  <c r="F32" i="18"/>
  <c r="H32" i="18" s="1"/>
  <c r="I33" i="18"/>
  <c r="I53" i="11"/>
  <c r="J52" i="11"/>
  <c r="K52" i="11" l="1"/>
  <c r="H54" i="11"/>
  <c r="F33" i="18"/>
  <c r="H33" i="18" s="1"/>
  <c r="E35" i="18"/>
  <c r="I34" i="18"/>
  <c r="I54" i="11"/>
  <c r="J53" i="11"/>
  <c r="K53" i="11" l="1"/>
  <c r="H55" i="11"/>
  <c r="E36" i="18"/>
  <c r="F34" i="18"/>
  <c r="H34" i="18" s="1"/>
  <c r="I35" i="18"/>
  <c r="J54" i="11"/>
  <c r="I55" i="11"/>
  <c r="K54" i="11" l="1"/>
  <c r="H56" i="11"/>
  <c r="E37" i="18"/>
  <c r="F35" i="18"/>
  <c r="H35" i="18" s="1"/>
  <c r="I36" i="18"/>
  <c r="J55" i="11"/>
  <c r="I56" i="11"/>
  <c r="K55" i="11" l="1"/>
  <c r="H57" i="11"/>
  <c r="E38" i="18"/>
  <c r="F36" i="18"/>
  <c r="H36" i="18" s="1"/>
  <c r="I37" i="18"/>
  <c r="I57" i="11"/>
  <c r="J56" i="11"/>
  <c r="K56" i="11" l="1"/>
  <c r="H58" i="11"/>
  <c r="F37" i="18"/>
  <c r="H37" i="18" s="1"/>
  <c r="E39" i="18"/>
  <c r="I38" i="18"/>
  <c r="I58" i="11"/>
  <c r="J57" i="11"/>
  <c r="K57" i="11" l="1"/>
  <c r="H59" i="11"/>
  <c r="E40" i="18"/>
  <c r="F38" i="18"/>
  <c r="H38" i="18" s="1"/>
  <c r="I39" i="18"/>
  <c r="J58" i="11"/>
  <c r="I59" i="11"/>
  <c r="K58" i="11" l="1"/>
  <c r="H60" i="11"/>
  <c r="E41" i="18"/>
  <c r="F39" i="18"/>
  <c r="H39" i="18" s="1"/>
  <c r="I40" i="18"/>
  <c r="J59" i="11"/>
  <c r="I60" i="11"/>
  <c r="K59" i="11" l="1"/>
  <c r="H61" i="11"/>
  <c r="E42" i="18"/>
  <c r="F40" i="18"/>
  <c r="H40" i="18" s="1"/>
  <c r="I41" i="18"/>
  <c r="J60" i="11"/>
  <c r="I61" i="11"/>
  <c r="K60" i="11" l="1"/>
  <c r="H62" i="11"/>
  <c r="F41" i="18"/>
  <c r="H41" i="18" s="1"/>
  <c r="E43" i="18"/>
  <c r="I42" i="18"/>
  <c r="I62" i="11"/>
  <c r="J61" i="11"/>
  <c r="K61" i="11" l="1"/>
  <c r="H63" i="11"/>
  <c r="E44" i="18"/>
  <c r="F42" i="18"/>
  <c r="H42" i="18" s="1"/>
  <c r="I43" i="18"/>
  <c r="J62" i="11"/>
  <c r="I63" i="11"/>
  <c r="K62" i="11" l="1"/>
  <c r="H64" i="11"/>
  <c r="E45" i="18"/>
  <c r="F43" i="18"/>
  <c r="H43" i="18" s="1"/>
  <c r="I44" i="18"/>
  <c r="I64" i="11"/>
  <c r="J63" i="11"/>
  <c r="K63" i="11" l="1"/>
  <c r="H65" i="11"/>
  <c r="E46" i="18"/>
  <c r="F44" i="18"/>
  <c r="H44" i="18" s="1"/>
  <c r="I45" i="18"/>
  <c r="J64" i="11"/>
  <c r="I65" i="11"/>
  <c r="K64" i="11" l="1"/>
  <c r="H66" i="11"/>
  <c r="F45" i="18"/>
  <c r="H45" i="18" s="1"/>
  <c r="E47" i="18"/>
  <c r="I46" i="18"/>
  <c r="I66" i="11"/>
  <c r="J65" i="11"/>
  <c r="K65" i="11" l="1"/>
  <c r="H67" i="11"/>
  <c r="E48" i="18"/>
  <c r="F46" i="18"/>
  <c r="H46" i="18" s="1"/>
  <c r="I47" i="18"/>
  <c r="J66" i="11"/>
  <c r="I67" i="11"/>
  <c r="K66" i="11" l="1"/>
  <c r="H68" i="11"/>
  <c r="E49" i="18"/>
  <c r="F47" i="18"/>
  <c r="H47" i="18" s="1"/>
  <c r="I48" i="18"/>
  <c r="J67" i="11"/>
  <c r="I68" i="11"/>
  <c r="K67" i="11" l="1"/>
  <c r="H69" i="11"/>
  <c r="E50" i="18"/>
  <c r="F48" i="18"/>
  <c r="H48" i="18" s="1"/>
  <c r="I49" i="18"/>
  <c r="J68" i="11"/>
  <c r="I69" i="11"/>
  <c r="K68" i="11" l="1"/>
  <c r="H70" i="11"/>
  <c r="F49" i="18"/>
  <c r="H49" i="18" s="1"/>
  <c r="E51" i="18"/>
  <c r="I50" i="18"/>
  <c r="I70" i="11"/>
  <c r="J69" i="11"/>
  <c r="K69" i="11" l="1"/>
  <c r="H71" i="11"/>
  <c r="E52" i="18"/>
  <c r="F50" i="18"/>
  <c r="H50" i="18" s="1"/>
  <c r="I51" i="18"/>
  <c r="J70" i="11"/>
  <c r="I71" i="11"/>
  <c r="K70" i="11" l="1"/>
  <c r="H72" i="11"/>
  <c r="E53" i="18"/>
  <c r="F51" i="18"/>
  <c r="H51" i="18" s="1"/>
  <c r="I52" i="18"/>
  <c r="J71" i="11"/>
  <c r="I72" i="11"/>
  <c r="K71" i="11" l="1"/>
  <c r="H73" i="11"/>
  <c r="E54" i="18"/>
  <c r="F52" i="18"/>
  <c r="H52" i="18" s="1"/>
  <c r="I53" i="18"/>
  <c r="J72" i="11"/>
  <c r="I73" i="11"/>
  <c r="K72" i="11" l="1"/>
  <c r="H74" i="11"/>
  <c r="F53" i="18"/>
  <c r="H53" i="18" s="1"/>
  <c r="E55" i="18"/>
  <c r="I54" i="18"/>
  <c r="J73" i="11"/>
  <c r="I74" i="11"/>
  <c r="K73" i="11" l="1"/>
  <c r="H75" i="11"/>
  <c r="E56" i="18"/>
  <c r="F54" i="18"/>
  <c r="H54" i="18" s="1"/>
  <c r="I55" i="18"/>
  <c r="J74" i="11"/>
  <c r="I75" i="11"/>
  <c r="K74" i="11" l="1"/>
  <c r="H76" i="11"/>
  <c r="E57" i="18"/>
  <c r="F55" i="18"/>
  <c r="H55" i="18" s="1"/>
  <c r="I56" i="18"/>
  <c r="I76" i="11"/>
  <c r="J75" i="11"/>
  <c r="K75" i="11" l="1"/>
  <c r="H77" i="11"/>
  <c r="E58" i="18"/>
  <c r="F56" i="18"/>
  <c r="H56" i="18" s="1"/>
  <c r="I57" i="18"/>
  <c r="J76" i="11"/>
  <c r="I77" i="11"/>
  <c r="K76" i="11" l="1"/>
  <c r="H78" i="11"/>
  <c r="F57" i="18"/>
  <c r="H57" i="18" s="1"/>
  <c r="E59" i="18"/>
  <c r="I58" i="18"/>
  <c r="I78" i="11"/>
  <c r="J77" i="11"/>
  <c r="K77" i="11" l="1"/>
  <c r="H79" i="11"/>
  <c r="E60" i="18"/>
  <c r="F58" i="18"/>
  <c r="H58" i="18" s="1"/>
  <c r="I59" i="18"/>
  <c r="J78" i="11"/>
  <c r="I79" i="11"/>
  <c r="K78" i="11" l="1"/>
  <c r="H80" i="11"/>
  <c r="E61" i="18"/>
  <c r="F59" i="18"/>
  <c r="H59" i="18" s="1"/>
  <c r="I60" i="18"/>
  <c r="J79" i="11"/>
  <c r="I80" i="11"/>
  <c r="K79" i="11" l="1"/>
  <c r="H81" i="11"/>
  <c r="E62" i="18"/>
  <c r="F60" i="18"/>
  <c r="H60" i="18" s="1"/>
  <c r="I61" i="18"/>
  <c r="J80" i="11"/>
  <c r="I81" i="11"/>
  <c r="K80" i="11" l="1"/>
  <c r="H82" i="11"/>
  <c r="F61" i="18"/>
  <c r="H61" i="18" s="1"/>
  <c r="E63" i="18"/>
  <c r="I62" i="18"/>
  <c r="J81" i="11"/>
  <c r="I82" i="11"/>
  <c r="K81" i="11" l="1"/>
  <c r="H83" i="11"/>
  <c r="E64" i="18"/>
  <c r="F62" i="18"/>
  <c r="H62" i="18" s="1"/>
  <c r="I63" i="18"/>
  <c r="J82" i="11"/>
  <c r="I83" i="11"/>
  <c r="K82" i="11" l="1"/>
  <c r="H84" i="11"/>
  <c r="E65" i="18"/>
  <c r="F63" i="18"/>
  <c r="H63" i="18" s="1"/>
  <c r="I64" i="18"/>
  <c r="I84" i="11"/>
  <c r="J83" i="11"/>
  <c r="K83" i="11" l="1"/>
  <c r="H85" i="11"/>
  <c r="E66" i="18"/>
  <c r="F64" i="18"/>
  <c r="H64" i="18" s="1"/>
  <c r="I65" i="18"/>
  <c r="J84" i="11"/>
  <c r="I85" i="11"/>
  <c r="K84" i="11" l="1"/>
  <c r="H86" i="11"/>
  <c r="F65" i="18"/>
  <c r="H65" i="18" s="1"/>
  <c r="E67" i="18"/>
  <c r="I66" i="18"/>
  <c r="J85" i="11"/>
  <c r="I86" i="11"/>
  <c r="K85" i="11" l="1"/>
  <c r="H87" i="11"/>
  <c r="E68" i="18"/>
  <c r="F66" i="18"/>
  <c r="H66" i="18" s="1"/>
  <c r="I67" i="18"/>
  <c r="J86" i="11"/>
  <c r="I87" i="11"/>
  <c r="K86" i="11" l="1"/>
  <c r="H88" i="11"/>
  <c r="E69" i="18"/>
  <c r="F67" i="18"/>
  <c r="H67" i="18" s="1"/>
  <c r="I68" i="18"/>
  <c r="I88" i="11"/>
  <c r="J87" i="11"/>
  <c r="K87" i="11" l="1"/>
  <c r="H89" i="11"/>
  <c r="E70" i="18"/>
  <c r="F68" i="18"/>
  <c r="H68" i="18" s="1"/>
  <c r="I69" i="18"/>
  <c r="J88" i="11"/>
  <c r="I89" i="11"/>
  <c r="K88" i="11" l="1"/>
  <c r="H90" i="11"/>
  <c r="E71" i="18"/>
  <c r="F69" i="18"/>
  <c r="H69" i="18" s="1"/>
  <c r="I70" i="18"/>
  <c r="I90" i="11"/>
  <c r="J89" i="11"/>
  <c r="K89" i="11" l="1"/>
  <c r="H91" i="11"/>
  <c r="F70" i="18"/>
  <c r="H70" i="18" s="1"/>
  <c r="E72" i="18"/>
  <c r="I71" i="18"/>
  <c r="I91" i="11"/>
  <c r="J90" i="11"/>
  <c r="K90" i="11" l="1"/>
  <c r="H92" i="11"/>
  <c r="E73" i="18"/>
  <c r="F71" i="18"/>
  <c r="H71" i="18" s="1"/>
  <c r="I72" i="18"/>
  <c r="I92" i="11"/>
  <c r="J91" i="11"/>
  <c r="K91" i="11" l="1"/>
  <c r="H93" i="11"/>
  <c r="F72" i="18"/>
  <c r="H72" i="18" s="1"/>
  <c r="E74" i="18"/>
  <c r="I73" i="18"/>
  <c r="J92" i="11"/>
  <c r="I93" i="11"/>
  <c r="K92" i="11" l="1"/>
  <c r="H94" i="11"/>
  <c r="E75" i="18"/>
  <c r="F73" i="18"/>
  <c r="H73" i="18" s="1"/>
  <c r="I74" i="18"/>
  <c r="I94" i="11"/>
  <c r="J93" i="11"/>
  <c r="K93" i="11" l="1"/>
  <c r="H95" i="11"/>
  <c r="F74" i="18"/>
  <c r="H74" i="18" s="1"/>
  <c r="E76" i="18"/>
  <c r="I75" i="18"/>
  <c r="J94" i="11"/>
  <c r="I95" i="11"/>
  <c r="K94" i="11" l="1"/>
  <c r="H96" i="11"/>
  <c r="E77" i="18"/>
  <c r="F75" i="18"/>
  <c r="H75" i="18" s="1"/>
  <c r="I76" i="18"/>
  <c r="I96" i="11"/>
  <c r="J95" i="11"/>
  <c r="K95" i="11" l="1"/>
  <c r="H97" i="11"/>
  <c r="F76" i="18"/>
  <c r="H76" i="18" s="1"/>
  <c r="E78" i="18"/>
  <c r="I77" i="18"/>
  <c r="I97" i="11"/>
  <c r="J96" i="11"/>
  <c r="K96" i="11" l="1"/>
  <c r="H98" i="11"/>
  <c r="E79" i="18"/>
  <c r="F77" i="18"/>
  <c r="H77" i="18" s="1"/>
  <c r="I78" i="18"/>
  <c r="I98" i="11"/>
  <c r="J97" i="11"/>
  <c r="K97" i="11" l="1"/>
  <c r="H99" i="11"/>
  <c r="F78" i="18"/>
  <c r="H78" i="18" s="1"/>
  <c r="E80" i="18"/>
  <c r="I79" i="18"/>
  <c r="I99" i="11"/>
  <c r="J98" i="11"/>
  <c r="K98" i="11" l="1"/>
  <c r="H100" i="11"/>
  <c r="E81" i="18"/>
  <c r="F79" i="18"/>
  <c r="H79" i="18" s="1"/>
  <c r="I80" i="18"/>
  <c r="I100" i="11"/>
  <c r="J99" i="11"/>
  <c r="K99" i="11" l="1"/>
  <c r="H101" i="11"/>
  <c r="F80" i="18"/>
  <c r="H80" i="18" s="1"/>
  <c r="E82" i="18"/>
  <c r="I81" i="18"/>
  <c r="J100" i="11"/>
  <c r="I101" i="11"/>
  <c r="K100" i="11" l="1"/>
  <c r="H102" i="11"/>
  <c r="E83" i="18"/>
  <c r="F81" i="18"/>
  <c r="H81" i="18" s="1"/>
  <c r="I82" i="18"/>
  <c r="I102" i="11"/>
  <c r="J101" i="11"/>
  <c r="K101" i="11" l="1"/>
  <c r="H103" i="11"/>
  <c r="F82" i="18"/>
  <c r="H82" i="18" s="1"/>
  <c r="E84" i="18"/>
  <c r="I83" i="18"/>
  <c r="J102" i="11"/>
  <c r="I103" i="11"/>
  <c r="K102" i="11" l="1"/>
  <c r="H104" i="11"/>
  <c r="E85" i="18"/>
  <c r="F83" i="18"/>
  <c r="H83" i="18" s="1"/>
  <c r="I84" i="18"/>
  <c r="I104" i="11"/>
  <c r="J103" i="11"/>
  <c r="K103" i="11" l="1"/>
  <c r="H105" i="11"/>
  <c r="F84" i="18"/>
  <c r="H84" i="18" s="1"/>
  <c r="E86" i="18"/>
  <c r="I85" i="18"/>
  <c r="J104" i="11"/>
  <c r="I105" i="11"/>
  <c r="K104" i="11" l="1"/>
  <c r="H106" i="11"/>
  <c r="E87" i="18"/>
  <c r="F85" i="18"/>
  <c r="H85" i="18" s="1"/>
  <c r="I86" i="18"/>
  <c r="I106" i="11"/>
  <c r="J105" i="11"/>
  <c r="K105" i="11" l="1"/>
  <c r="H107" i="11"/>
  <c r="F86" i="18"/>
  <c r="H86" i="18" s="1"/>
  <c r="E88" i="18"/>
  <c r="I87" i="18"/>
  <c r="I107" i="11"/>
  <c r="J106" i="11"/>
  <c r="K106" i="11" l="1"/>
  <c r="H108" i="11"/>
  <c r="E89" i="18"/>
  <c r="F87" i="18"/>
  <c r="H87" i="18" s="1"/>
  <c r="I88" i="18"/>
  <c r="J107" i="11"/>
  <c r="I108" i="11"/>
  <c r="K107" i="11" l="1"/>
  <c r="H109" i="11"/>
  <c r="F88" i="18"/>
  <c r="H88" i="18" s="1"/>
  <c r="E90" i="18"/>
  <c r="I89" i="18"/>
  <c r="J108" i="11"/>
  <c r="I109" i="11"/>
  <c r="K108" i="11" l="1"/>
  <c r="H110" i="11"/>
  <c r="E91" i="18"/>
  <c r="F89" i="18"/>
  <c r="H89" i="18" s="1"/>
  <c r="I90" i="18"/>
  <c r="I110" i="11"/>
  <c r="J109" i="11"/>
  <c r="K109" i="11" l="1"/>
  <c r="H111" i="11"/>
  <c r="F90" i="18"/>
  <c r="H90" i="18" s="1"/>
  <c r="E92" i="18"/>
  <c r="I91" i="18"/>
  <c r="J110" i="11"/>
  <c r="I111" i="11"/>
  <c r="K110" i="11" l="1"/>
  <c r="E93" i="18"/>
  <c r="F91" i="18"/>
  <c r="H91" i="18" s="1"/>
  <c r="I92" i="18"/>
  <c r="J111" i="11"/>
  <c r="K111" i="11" l="1"/>
  <c r="F92" i="18"/>
  <c r="H92" i="18" s="1"/>
  <c r="E94" i="18"/>
  <c r="I93" i="18"/>
  <c r="E95" i="18" l="1"/>
  <c r="F93" i="18"/>
  <c r="H93" i="18" s="1"/>
  <c r="I94" i="18"/>
  <c r="F94" i="18" l="1"/>
  <c r="H94" i="18" s="1"/>
  <c r="E96" i="18"/>
  <c r="I95" i="18"/>
  <c r="E97" i="18" l="1"/>
  <c r="F95" i="18"/>
  <c r="H95" i="18" s="1"/>
  <c r="I96" i="18"/>
  <c r="F96" i="18" l="1"/>
  <c r="H96" i="18" s="1"/>
  <c r="E98" i="18"/>
  <c r="I97" i="18"/>
  <c r="E99" i="18" l="1"/>
  <c r="F97" i="18"/>
  <c r="H97" i="18" s="1"/>
  <c r="I98" i="18"/>
  <c r="F98" i="18" l="1"/>
  <c r="H98" i="18" s="1"/>
  <c r="E100" i="18"/>
  <c r="I99" i="18"/>
  <c r="E101" i="18" l="1"/>
  <c r="F99" i="18"/>
  <c r="H99" i="18" s="1"/>
  <c r="I100" i="18"/>
  <c r="F100" i="18" l="1"/>
  <c r="H100" i="18" s="1"/>
  <c r="E102" i="18"/>
  <c r="I101" i="18"/>
  <c r="E103" i="18" l="1"/>
  <c r="F101" i="18"/>
  <c r="H101" i="18" s="1"/>
  <c r="I102" i="18"/>
  <c r="F102" i="18" l="1"/>
  <c r="H102" i="18" s="1"/>
  <c r="E104" i="18"/>
  <c r="I103" i="18"/>
  <c r="E105" i="18" l="1"/>
  <c r="F103" i="18"/>
  <c r="H103" i="18" s="1"/>
  <c r="I104" i="18"/>
  <c r="F104" i="18" l="1"/>
  <c r="H104" i="18" s="1"/>
  <c r="E106" i="18"/>
  <c r="I105" i="18"/>
  <c r="E107" i="18" l="1"/>
  <c r="F105" i="18"/>
  <c r="H105" i="18" s="1"/>
  <c r="I106" i="18"/>
  <c r="F106" i="18" l="1"/>
  <c r="H106" i="18" s="1"/>
  <c r="E108" i="18"/>
  <c r="I107" i="18"/>
  <c r="E109" i="18" l="1"/>
  <c r="F107" i="18"/>
  <c r="H107" i="18" s="1"/>
  <c r="I108" i="18"/>
  <c r="F108" i="18" l="1"/>
  <c r="H108" i="18" s="1"/>
  <c r="E110" i="18"/>
  <c r="I109" i="18"/>
  <c r="E111" i="18" l="1"/>
  <c r="F109" i="18"/>
  <c r="H109" i="18" s="1"/>
  <c r="I110" i="18"/>
  <c r="F110" i="18" l="1"/>
  <c r="H110" i="18" s="1"/>
  <c r="E112" i="18"/>
  <c r="I111" i="18"/>
  <c r="E113" i="18" l="1"/>
  <c r="F111" i="18"/>
  <c r="H111" i="18" s="1"/>
  <c r="I112" i="18"/>
  <c r="F112" i="18" l="1"/>
  <c r="H112" i="18" s="1"/>
  <c r="E114" i="18"/>
  <c r="I113" i="18"/>
  <c r="E115" i="18" l="1"/>
  <c r="F113" i="18"/>
  <c r="H113" i="18" s="1"/>
  <c r="I114" i="18"/>
  <c r="F114" i="18" l="1"/>
  <c r="H114" i="18" s="1"/>
  <c r="E116" i="18"/>
  <c r="I115" i="18"/>
  <c r="L4" i="18" l="1"/>
  <c r="L7" i="18" s="1"/>
  <c r="E117" i="18"/>
  <c r="F115" i="18"/>
  <c r="H115" i="18" s="1"/>
  <c r="I116" i="18"/>
  <c r="F116" i="18" l="1"/>
  <c r="H116" i="18" s="1"/>
  <c r="E118" i="18"/>
  <c r="I117" i="18"/>
  <c r="E119" i="18" l="1"/>
  <c r="F117" i="18"/>
  <c r="H117" i="18" s="1"/>
  <c r="I118" i="18"/>
  <c r="E120" i="18" l="1"/>
  <c r="F118" i="18"/>
  <c r="H118" i="18" s="1"/>
  <c r="I119" i="18"/>
  <c r="F119" i="18" l="1"/>
  <c r="H119" i="18" s="1"/>
  <c r="H9" i="18" s="1"/>
  <c r="I120" i="18"/>
  <c r="I9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UNSA</author>
  </authors>
  <commentList>
    <comment ref="E2" authorId="0" shapeId="0" xr:uid="{00000000-0006-0000-0100-000001000000}">
      <text>
        <r>
          <rPr>
            <sz val="10"/>
            <color indexed="81"/>
            <rFont val="Tahoma"/>
            <family val="2"/>
          </rPr>
          <t>less of deaths (%)</t>
        </r>
      </text>
    </comment>
    <comment ref="L4" authorId="0" shapeId="0" xr:uid="{00000000-0006-0000-0100-000002000000}">
      <text>
        <r>
          <rPr>
            <sz val="10"/>
            <color indexed="81"/>
            <rFont val="Tahoma"/>
            <family val="2"/>
          </rPr>
          <t>Profit and Loss of the Insurance Company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</author>
  </authors>
  <commentList>
    <comment ref="A9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MA:</t>
        </r>
        <r>
          <rPr>
            <sz val="9"/>
            <color indexed="81"/>
            <rFont val="Tahoma"/>
            <family val="2"/>
          </rPr>
          <t xml:space="preserve">
End of year</t>
        </r>
      </text>
    </comment>
    <comment ref="E1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MA:</t>
        </r>
        <r>
          <rPr>
            <sz val="9"/>
            <color indexed="81"/>
            <rFont val="Tahoma"/>
            <family val="2"/>
          </rPr>
          <t xml:space="preserve">
There is a probabilization factor to take into account (see Reserve reccurent equation)</t>
        </r>
      </text>
    </comment>
  </commentList>
</comments>
</file>

<file path=xl/sharedStrings.xml><?xml version="1.0" encoding="utf-8"?>
<sst xmlns="http://schemas.openxmlformats.org/spreadsheetml/2006/main" count="235" uniqueCount="84">
  <si>
    <t>lx</t>
  </si>
  <si>
    <t>dx</t>
  </si>
  <si>
    <t>qx</t>
  </si>
  <si>
    <t>age x</t>
  </si>
  <si>
    <t>Age</t>
  </si>
  <si>
    <t>Technical Rate</t>
  </si>
  <si>
    <t>Amount</t>
  </si>
  <si>
    <t>term</t>
  </si>
  <si>
    <t>h-1/1 q x</t>
  </si>
  <si>
    <t>nAx</t>
  </si>
  <si>
    <t>Single Premium</t>
  </si>
  <si>
    <t>nEx</t>
  </si>
  <si>
    <t>U</t>
  </si>
  <si>
    <t>npx</t>
  </si>
  <si>
    <t>P</t>
  </si>
  <si>
    <t>Annual Premium</t>
  </si>
  <si>
    <t>Term (n)</t>
  </si>
  <si>
    <t>Payment (m)</t>
  </si>
  <si>
    <t>h-1/1 Ax</t>
  </si>
  <si>
    <t>h-1/1 q x+t</t>
  </si>
  <si>
    <t>h-1/1 A x+t</t>
  </si>
  <si>
    <t>5 A 50</t>
  </si>
  <si>
    <t>4 A 51</t>
  </si>
  <si>
    <t>t=0</t>
  </si>
  <si>
    <t>t=1</t>
  </si>
  <si>
    <t>t=2</t>
  </si>
  <si>
    <t>3 A 52</t>
  </si>
  <si>
    <t>t=3</t>
  </si>
  <si>
    <t>2 A 53</t>
  </si>
  <si>
    <t>1 A 54</t>
  </si>
  <si>
    <t>t=4</t>
  </si>
  <si>
    <t>a 50:5</t>
  </si>
  <si>
    <t>a 51:4</t>
  </si>
  <si>
    <t>a 52:3</t>
  </si>
  <si>
    <t>a 53:4</t>
  </si>
  <si>
    <t>a 54:1</t>
  </si>
  <si>
    <t>Check lx</t>
  </si>
  <si>
    <t>MortalityTable</t>
  </si>
  <si>
    <t>tpx</t>
  </si>
  <si>
    <t>v^t</t>
  </si>
  <si>
    <t>tEx</t>
  </si>
  <si>
    <t>a.. x:m</t>
  </si>
  <si>
    <t>v^h</t>
  </si>
  <si>
    <t>Contract Type</t>
  </si>
  <si>
    <t>Term Assurance</t>
  </si>
  <si>
    <t>Stress Test</t>
  </si>
  <si>
    <t>Discount</t>
  </si>
  <si>
    <t>Numerical error level</t>
  </si>
  <si>
    <t>New qx (2nd order)</t>
  </si>
  <si>
    <t>New lx (2nd order)</t>
  </si>
  <si>
    <t>Check 1</t>
  </si>
  <si>
    <t>Check 2</t>
  </si>
  <si>
    <t>qx stressed</t>
  </si>
  <si>
    <t>lx stressed</t>
  </si>
  <si>
    <t>implicit profit due to the implicit loadings</t>
  </si>
  <si>
    <t>Annual Premium 2nd order</t>
  </si>
  <si>
    <t>Check 3</t>
  </si>
  <si>
    <r>
      <rPr>
        <b/>
        <vertAlign val="subscript"/>
        <sz val="10"/>
        <rFont val="Arial"/>
        <family val="2"/>
      </rPr>
      <t>/m-t</t>
    </r>
    <r>
      <rPr>
        <b/>
        <sz val="10"/>
        <rFont val="Arial"/>
        <family val="2"/>
      </rPr>
      <t xml:space="preserve">a.. </t>
    </r>
    <r>
      <rPr>
        <b/>
        <vertAlign val="subscript"/>
        <sz val="10"/>
        <rFont val="Arial"/>
        <family val="2"/>
      </rPr>
      <t>x+t</t>
    </r>
  </si>
  <si>
    <r>
      <rPr>
        <b/>
        <vertAlign val="subscript"/>
        <sz val="10"/>
        <rFont val="Arial"/>
        <family val="2"/>
      </rPr>
      <t>n-t</t>
    </r>
    <r>
      <rPr>
        <b/>
        <sz val="10"/>
        <rFont val="Arial"/>
        <family val="2"/>
      </rPr>
      <t xml:space="preserve">A </t>
    </r>
    <r>
      <rPr>
        <b/>
        <vertAlign val="subscript"/>
        <sz val="10"/>
        <rFont val="Arial"/>
        <family val="2"/>
      </rPr>
      <t>x+t</t>
    </r>
  </si>
  <si>
    <t>Reserves</t>
  </si>
  <si>
    <t>Equivalence Principal</t>
  </si>
  <si>
    <t>Recurrence</t>
  </si>
  <si>
    <t>Level Annual Premium</t>
  </si>
  <si>
    <t>Natural Premium</t>
  </si>
  <si>
    <t>lx saved</t>
  </si>
  <si>
    <t>Premiums</t>
  </si>
  <si>
    <t>Claims</t>
  </si>
  <si>
    <t>Premium Reserves</t>
  </si>
  <si>
    <t>Total</t>
  </si>
  <si>
    <t>Financial income</t>
  </si>
  <si>
    <t>Last Premium Reserves</t>
  </si>
  <si>
    <t>BALANCE SHEET</t>
  </si>
  <si>
    <t>ASSET</t>
  </si>
  <si>
    <t>LIABILITY</t>
  </si>
  <si>
    <t>Need to pay more than expexted claims</t>
  </si>
  <si>
    <t>Cannot do enough Reserves</t>
  </si>
  <si>
    <t>Asset = Liability : OK</t>
  </si>
  <si>
    <t>VALUES</t>
  </si>
  <si>
    <r>
      <t xml:space="preserve">Mortality Table, France, </t>
    </r>
    <r>
      <rPr>
        <b/>
        <sz val="11"/>
        <color rgb="FF0000FF"/>
        <rFont val="Calibri"/>
        <family val="2"/>
        <scheme val="minor"/>
      </rPr>
      <t>TH 00-02</t>
    </r>
  </si>
  <si>
    <r>
      <rPr>
        <b/>
        <sz val="10"/>
        <rFont val="Arial"/>
        <family val="2"/>
      </rPr>
      <t>EQUILIBRIUM</t>
    </r>
    <r>
      <rPr>
        <sz val="10"/>
        <rFont val="Arial"/>
        <family val="2"/>
      </rPr>
      <t xml:space="preserve"> WHEN ASSUMPTIONS OF</t>
    </r>
  </si>
  <si>
    <r>
      <rPr>
        <b/>
        <sz val="10"/>
        <rFont val="Arial"/>
        <family val="2"/>
      </rPr>
      <t>ARE THE SAME</t>
    </r>
    <r>
      <rPr>
        <sz val="10"/>
        <rFont val="Arial"/>
        <family val="2"/>
      </rPr>
      <t xml:space="preserve"> AS</t>
    </r>
  </si>
  <si>
    <r>
      <t xml:space="preserve">TECHNICAL BASES </t>
    </r>
    <r>
      <rPr>
        <b/>
        <sz val="10"/>
        <rFont val="Arial"/>
        <family val="2"/>
      </rPr>
      <t>A POSTERIORI</t>
    </r>
    <r>
      <rPr>
        <sz val="10"/>
        <rFont val="Arial"/>
        <family val="2"/>
      </rPr>
      <t xml:space="preserve"> OF ACTUAL CLAIMS</t>
    </r>
  </si>
  <si>
    <r>
      <t xml:space="preserve">TECHNICAL BASES USED </t>
    </r>
    <r>
      <rPr>
        <b/>
        <sz val="10"/>
        <rFont val="Arial"/>
        <family val="2"/>
      </rPr>
      <t>A PRIORI</t>
    </r>
    <r>
      <rPr>
        <sz val="10"/>
        <rFont val="Arial"/>
        <family val="2"/>
      </rPr>
      <t xml:space="preserve"> FOR PREMIUMS AND RESERVES</t>
    </r>
  </si>
  <si>
    <t>Single Premium 2nd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</si>
</sst>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0.00000"/>
    <numFmt numFmtId="165" formatCode="0.000000000"/>
    <numFmt numFmtId="166" formatCode="0.00000000"/>
    <numFmt numFmtId="167" formatCode="0.000000"/>
    <numFmt numFmtId="168" formatCode="_-* #,##0.0000_-;\-* #,##0.0000_-;_-* &quot;-&quot;??_-;_-@_-"/>
    <numFmt numFmtId="169" formatCode="&quot;End of year &quot;0"/>
  </numFmts>
  <fonts count="1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rgb="FF3333FF"/>
      <name val="Arial"/>
      <family val="2"/>
    </font>
    <font>
      <b/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color rgb="FF3333FF"/>
      <name val="Arial"/>
      <family val="2"/>
    </font>
    <font>
      <sz val="10"/>
      <color indexed="81"/>
      <name val="Tahoma"/>
      <family val="2"/>
    </font>
    <font>
      <b/>
      <vertAlign val="subscript"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7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 tint="-0.249977111117893"/>
      <name val="Arial"/>
      <family val="2"/>
    </font>
    <font>
      <sz val="10"/>
      <color theme="0" tint="-0.34998626667073579"/>
      <name val="Arial"/>
      <family val="2"/>
    </font>
    <font>
      <b/>
      <sz val="10"/>
      <color theme="0" tint="-0.3499862666707357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33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8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0" fillId="0" borderId="0" xfId="0" applyAlignment="1">
      <alignment horizontal="right"/>
    </xf>
    <xf numFmtId="9" fontId="3" fillId="0" borderId="4" xfId="2" applyFont="1" applyBorder="1"/>
    <xf numFmtId="0" fontId="3" fillId="0" borderId="6" xfId="0" applyFont="1" applyBorder="1"/>
    <xf numFmtId="0" fontId="4" fillId="2" borderId="0" xfId="0" applyFont="1" applyFill="1"/>
    <xf numFmtId="0" fontId="0" fillId="3" borderId="0" xfId="0" applyFill="1"/>
    <xf numFmtId="0" fontId="4" fillId="3" borderId="0" xfId="0" applyFont="1" applyFill="1"/>
    <xf numFmtId="165" fontId="4" fillId="2" borderId="0" xfId="0" applyNumberFormat="1" applyFont="1" applyFill="1"/>
    <xf numFmtId="0" fontId="4" fillId="4" borderId="0" xfId="0" applyFont="1" applyFill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1" xfId="0" applyFont="1" applyBorder="1" applyAlignment="1">
      <alignment horizontal="center"/>
    </xf>
    <xf numFmtId="0" fontId="7" fillId="3" borderId="0" xfId="0" applyFont="1" applyFill="1" applyAlignment="1">
      <alignment horizontal="center"/>
    </xf>
    <xf numFmtId="165" fontId="4" fillId="4" borderId="0" xfId="0" applyNumberFormat="1" applyFont="1" applyFill="1"/>
    <xf numFmtId="0" fontId="1" fillId="0" borderId="0" xfId="0" applyFont="1"/>
    <xf numFmtId="0" fontId="3" fillId="0" borderId="0" xfId="0" applyNumberFormat="1" applyFont="1" applyFill="1"/>
    <xf numFmtId="0" fontId="5" fillId="2" borderId="0" xfId="0" applyFont="1" applyFill="1"/>
    <xf numFmtId="0" fontId="5" fillId="4" borderId="0" xfId="0" applyNumberFormat="1" applyFont="1" applyFill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3" fillId="0" borderId="5" xfId="0" applyFont="1" applyFill="1" applyBorder="1"/>
    <xf numFmtId="0" fontId="3" fillId="0" borderId="6" xfId="0" applyFont="1" applyFill="1" applyBorder="1" applyAlignment="1">
      <alignment horizontal="center"/>
    </xf>
    <xf numFmtId="164" fontId="4" fillId="2" borderId="4" xfId="0" applyNumberFormat="1" applyFont="1" applyFill="1" applyBorder="1"/>
    <xf numFmtId="164" fontId="0" fillId="3" borderId="6" xfId="0" applyNumberFormat="1" applyFill="1" applyBorder="1"/>
    <xf numFmtId="0" fontId="3" fillId="3" borderId="14" xfId="0" applyFont="1" applyFill="1" applyBorder="1" applyAlignment="1">
      <alignment horizontal="center"/>
    </xf>
    <xf numFmtId="167" fontId="4" fillId="2" borderId="3" xfId="0" applyNumberFormat="1" applyFont="1" applyFill="1" applyBorder="1"/>
    <xf numFmtId="1" fontId="4" fillId="2" borderId="4" xfId="0" applyNumberFormat="1" applyFont="1" applyFill="1" applyBorder="1"/>
    <xf numFmtId="1" fontId="7" fillId="3" borderId="4" xfId="0" applyNumberFormat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3" fillId="0" borderId="1" xfId="0" applyFont="1" applyFill="1" applyBorder="1"/>
    <xf numFmtId="9" fontId="3" fillId="0" borderId="2" xfId="2" applyFont="1" applyFill="1" applyBorder="1"/>
    <xf numFmtId="0" fontId="3" fillId="0" borderId="6" xfId="0" applyFont="1" applyFill="1" applyBorder="1"/>
    <xf numFmtId="167" fontId="4" fillId="2" borderId="0" xfId="0" applyNumberFormat="1" applyFont="1" applyFill="1"/>
    <xf numFmtId="0" fontId="3" fillId="0" borderId="14" xfId="0" applyFont="1" applyBorder="1"/>
    <xf numFmtId="0" fontId="3" fillId="0" borderId="13" xfId="0" applyFont="1" applyBorder="1"/>
    <xf numFmtId="164" fontId="8" fillId="2" borderId="1" xfId="0" applyNumberFormat="1" applyFont="1" applyFill="1" applyBorder="1"/>
    <xf numFmtId="164" fontId="8" fillId="2" borderId="8" xfId="0" applyNumberFormat="1" applyFont="1" applyFill="1" applyBorder="1"/>
    <xf numFmtId="164" fontId="4" fillId="2" borderId="5" xfId="0" applyNumberFormat="1" applyFont="1" applyFill="1" applyBorder="1"/>
    <xf numFmtId="164" fontId="4" fillId="2" borderId="7" xfId="0" applyNumberFormat="1" applyFont="1" applyFill="1" applyBorder="1"/>
    <xf numFmtId="164" fontId="1" fillId="3" borderId="2" xfId="0" applyNumberFormat="1" applyFont="1" applyFill="1" applyBorder="1"/>
    <xf numFmtId="0" fontId="4" fillId="2" borderId="1" xfId="0" applyFont="1" applyFill="1" applyBorder="1"/>
    <xf numFmtId="0" fontId="4" fillId="2" borderId="3" xfId="0" applyFont="1" applyFill="1" applyBorder="1"/>
    <xf numFmtId="0" fontId="4" fillId="2" borderId="5" xfId="0" applyFont="1" applyFill="1" applyBorder="1"/>
    <xf numFmtId="0" fontId="7" fillId="3" borderId="9" xfId="0" applyFont="1" applyFill="1" applyBorder="1" applyAlignment="1">
      <alignment horizontal="right"/>
    </xf>
    <xf numFmtId="0" fontId="7" fillId="3" borderId="10" xfId="0" applyFont="1" applyFill="1" applyBorder="1" applyAlignment="1">
      <alignment horizontal="right"/>
    </xf>
    <xf numFmtId="0" fontId="7" fillId="3" borderId="11" xfId="0" applyFont="1" applyFill="1" applyBorder="1" applyAlignment="1">
      <alignment horizontal="right"/>
    </xf>
    <xf numFmtId="0" fontId="8" fillId="2" borderId="0" xfId="0" applyFont="1" applyFill="1"/>
    <xf numFmtId="11" fontId="3" fillId="0" borderId="0" xfId="0" applyNumberFormat="1" applyFont="1" applyFill="1" applyBorder="1"/>
    <xf numFmtId="0" fontId="3" fillId="0" borderId="9" xfId="0" applyFont="1" applyBorder="1" applyAlignment="1">
      <alignment horizontal="right"/>
    </xf>
    <xf numFmtId="0" fontId="3" fillId="0" borderId="10" xfId="0" applyFont="1" applyBorder="1" applyAlignment="1">
      <alignment horizontal="right"/>
    </xf>
    <xf numFmtId="0" fontId="3" fillId="0" borderId="11" xfId="0" applyFont="1" applyBorder="1" applyAlignment="1">
      <alignment horizontal="right"/>
    </xf>
    <xf numFmtId="0" fontId="4" fillId="2" borderId="8" xfId="0" applyFont="1" applyFill="1" applyBorder="1"/>
    <xf numFmtId="0" fontId="4" fillId="2" borderId="2" xfId="0" applyFont="1" applyFill="1" applyBorder="1"/>
    <xf numFmtId="0" fontId="4" fillId="2" borderId="0" xfId="0" applyFont="1" applyFill="1" applyBorder="1"/>
    <xf numFmtId="0" fontId="4" fillId="2" borderId="4" xfId="0" applyFont="1" applyFill="1" applyBorder="1"/>
    <xf numFmtId="0" fontId="4" fillId="2" borderId="7" xfId="0" applyFont="1" applyFill="1" applyBorder="1"/>
    <xf numFmtId="0" fontId="4" fillId="2" borderId="6" xfId="0" applyFont="1" applyFill="1" applyBorder="1"/>
    <xf numFmtId="0" fontId="4" fillId="2" borderId="9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3" borderId="0" xfId="0" applyFill="1" applyAlignment="1">
      <alignment horizontal="left"/>
    </xf>
    <xf numFmtId="0" fontId="3" fillId="0" borderId="0" xfId="0" applyFont="1" applyFill="1"/>
    <xf numFmtId="0" fontId="5" fillId="3" borderId="0" xfId="0" applyFont="1" applyFill="1" applyAlignment="1">
      <alignment horizontal="center"/>
    </xf>
    <xf numFmtId="166" fontId="8" fillId="2" borderId="14" xfId="0" applyNumberFormat="1" applyFont="1" applyFill="1" applyBorder="1"/>
    <xf numFmtId="166" fontId="8" fillId="2" borderId="12" xfId="0" applyNumberFormat="1" applyFont="1" applyFill="1" applyBorder="1"/>
    <xf numFmtId="0" fontId="8" fillId="2" borderId="14" xfId="0" applyFont="1" applyFill="1" applyBorder="1"/>
    <xf numFmtId="0" fontId="8" fillId="2" borderId="13" xfId="0" applyFont="1" applyFill="1" applyBorder="1"/>
    <xf numFmtId="164" fontId="8" fillId="2" borderId="2" xfId="0" applyNumberFormat="1" applyFont="1" applyFill="1" applyBorder="1"/>
    <xf numFmtId="164" fontId="3" fillId="3" borderId="5" xfId="0" applyNumberFormat="1" applyFont="1" applyFill="1" applyBorder="1"/>
    <xf numFmtId="164" fontId="8" fillId="2" borderId="7" xfId="0" applyNumberFormat="1" applyFont="1" applyFill="1" applyBorder="1"/>
    <xf numFmtId="164" fontId="8" fillId="2" borderId="6" xfId="0" applyNumberFormat="1" applyFont="1" applyFill="1" applyBorder="1"/>
    <xf numFmtId="0" fontId="11" fillId="0" borderId="0" xfId="0" applyFont="1"/>
    <xf numFmtId="0" fontId="4" fillId="3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164" fontId="0" fillId="2" borderId="2" xfId="0" applyNumberFormat="1" applyFill="1" applyBorder="1"/>
    <xf numFmtId="164" fontId="0" fillId="2" borderId="4" xfId="0" applyNumberFormat="1" applyFill="1" applyBorder="1"/>
    <xf numFmtId="164" fontId="4" fillId="2" borderId="2" xfId="0" applyNumberFormat="1" applyFont="1" applyFill="1" applyBorder="1"/>
    <xf numFmtId="0" fontId="4" fillId="3" borderId="5" xfId="0" applyFont="1" applyFill="1" applyBorder="1" applyAlignment="1">
      <alignment horizontal="center"/>
    </xf>
    <xf numFmtId="0" fontId="1" fillId="3" borderId="4" xfId="0" applyFont="1" applyFill="1" applyBorder="1"/>
    <xf numFmtId="0" fontId="1" fillId="3" borderId="6" xfId="0" applyFont="1" applyFill="1" applyBorder="1"/>
    <xf numFmtId="0" fontId="1" fillId="3" borderId="1" xfId="0" applyFont="1" applyFill="1" applyBorder="1" applyAlignment="1">
      <alignment horizontal="center"/>
    </xf>
    <xf numFmtId="0" fontId="4" fillId="3" borderId="5" xfId="0" applyFont="1" applyFill="1" applyBorder="1"/>
    <xf numFmtId="0" fontId="1" fillId="3" borderId="2" xfId="0" applyFont="1" applyFill="1" applyBorder="1"/>
    <xf numFmtId="164" fontId="1" fillId="3" borderId="6" xfId="0" applyNumberFormat="1" applyFont="1" applyFill="1" applyBorder="1"/>
    <xf numFmtId="1" fontId="4" fillId="3" borderId="5" xfId="0" applyNumberFormat="1" applyFont="1" applyFill="1" applyBorder="1"/>
    <xf numFmtId="0" fontId="4" fillId="4" borderId="0" xfId="0" applyNumberFormat="1" applyFont="1" applyFill="1"/>
    <xf numFmtId="1" fontId="4" fillId="2" borderId="3" xfId="0" applyNumberFormat="1" applyFont="1" applyFill="1" applyBorder="1"/>
    <xf numFmtId="0" fontId="0" fillId="2" borderId="1" xfId="0" applyFill="1" applyBorder="1" applyAlignment="1">
      <alignment horizontal="right" vertical="center"/>
    </xf>
    <xf numFmtId="0" fontId="0" fillId="2" borderId="3" xfId="0" applyFill="1" applyBorder="1" applyAlignment="1">
      <alignment horizontal="right" vertical="center"/>
    </xf>
    <xf numFmtId="1" fontId="0" fillId="2" borderId="3" xfId="0" applyNumberFormat="1" applyFill="1" applyBorder="1" applyAlignment="1">
      <alignment horizontal="right" vertical="center"/>
    </xf>
    <xf numFmtId="0" fontId="3" fillId="0" borderId="10" xfId="0" quotePrefix="1" applyFont="1" applyFill="1" applyBorder="1"/>
    <xf numFmtId="164" fontId="4" fillId="4" borderId="1" xfId="0" applyNumberFormat="1" applyFont="1" applyFill="1" applyBorder="1"/>
    <xf numFmtId="164" fontId="4" fillId="4" borderId="8" xfId="0" applyNumberFormat="1" applyFont="1" applyFill="1" applyBorder="1"/>
    <xf numFmtId="0" fontId="4" fillId="4" borderId="1" xfId="0" applyFont="1" applyFill="1" applyBorder="1"/>
    <xf numFmtId="0" fontId="4" fillId="4" borderId="8" xfId="0" applyFont="1" applyFill="1" applyBorder="1"/>
    <xf numFmtId="0" fontId="4" fillId="4" borderId="2" xfId="0" applyFont="1" applyFill="1" applyBorder="1"/>
    <xf numFmtId="0" fontId="4" fillId="4" borderId="3" xfId="0" applyFont="1" applyFill="1" applyBorder="1"/>
    <xf numFmtId="0" fontId="4" fillId="4" borderId="0" xfId="0" applyFont="1" applyFill="1" applyBorder="1"/>
    <xf numFmtId="0" fontId="4" fillId="4" borderId="4" xfId="0" applyFont="1" applyFill="1" applyBorder="1"/>
    <xf numFmtId="0" fontId="4" fillId="4" borderId="5" xfId="0" applyFont="1" applyFill="1" applyBorder="1"/>
    <xf numFmtId="0" fontId="4" fillId="4" borderId="7" xfId="0" applyFont="1" applyFill="1" applyBorder="1"/>
    <xf numFmtId="0" fontId="4" fillId="4" borderId="6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4" fillId="4" borderId="11" xfId="0" applyFont="1" applyFill="1" applyBorder="1"/>
    <xf numFmtId="0" fontId="4" fillId="3" borderId="1" xfId="0" applyFont="1" applyFill="1" applyBorder="1"/>
    <xf numFmtId="0" fontId="4" fillId="3" borderId="3" xfId="0" applyFont="1" applyFill="1" applyBorder="1"/>
    <xf numFmtId="0" fontId="13" fillId="0" borderId="1" xfId="0" applyFont="1" applyFill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" xfId="0" applyFont="1" applyFill="1" applyBorder="1" applyAlignment="1">
      <alignment horizontal="center"/>
    </xf>
    <xf numFmtId="164" fontId="4" fillId="2" borderId="6" xfId="0" applyNumberFormat="1" applyFont="1" applyFill="1" applyBorder="1"/>
    <xf numFmtId="0" fontId="1" fillId="0" borderId="18" xfId="0" applyFont="1" applyBorder="1"/>
    <xf numFmtId="0" fontId="1" fillId="0" borderId="0" xfId="0" applyFont="1" applyBorder="1"/>
    <xf numFmtId="168" fontId="0" fillId="0" borderId="19" xfId="1" applyNumberFormat="1" applyFont="1" applyBorder="1"/>
    <xf numFmtId="0" fontId="3" fillId="0" borderId="21" xfId="0" applyFont="1" applyBorder="1"/>
    <xf numFmtId="168" fontId="3" fillId="0" borderId="22" xfId="1" applyNumberFormat="1" applyFont="1" applyBorder="1"/>
    <xf numFmtId="0" fontId="0" fillId="0" borderId="20" xfId="0" applyBorder="1"/>
    <xf numFmtId="0" fontId="1" fillId="0" borderId="21" xfId="0" applyFont="1" applyBorder="1"/>
    <xf numFmtId="168" fontId="0" fillId="0" borderId="22" xfId="1" applyNumberFormat="1" applyFont="1" applyBorder="1"/>
    <xf numFmtId="0" fontId="3" fillId="0" borderId="20" xfId="0" applyFont="1" applyBorder="1"/>
    <xf numFmtId="0" fontId="3" fillId="0" borderId="23" xfId="0" applyFont="1" applyBorder="1"/>
    <xf numFmtId="0" fontId="3" fillId="0" borderId="24" xfId="0" applyFont="1" applyBorder="1"/>
    <xf numFmtId="0" fontId="3" fillId="0" borderId="25" xfId="0" applyFont="1" applyBorder="1"/>
    <xf numFmtId="0" fontId="3" fillId="0" borderId="15" xfId="0" applyFont="1" applyBorder="1"/>
    <xf numFmtId="0" fontId="3" fillId="0" borderId="17" xfId="0" applyFont="1" applyBorder="1"/>
    <xf numFmtId="0" fontId="3" fillId="0" borderId="16" xfId="0" applyFont="1" applyBorder="1"/>
    <xf numFmtId="169" fontId="3" fillId="0" borderId="0" xfId="0" applyNumberFormat="1" applyFont="1"/>
    <xf numFmtId="0" fontId="16" fillId="0" borderId="0" xfId="0" applyFont="1"/>
    <xf numFmtId="0" fontId="0" fillId="6" borderId="0" xfId="0" applyFill="1"/>
    <xf numFmtId="0" fontId="1" fillId="6" borderId="0" xfId="0" applyFont="1" applyFill="1"/>
    <xf numFmtId="0" fontId="3" fillId="7" borderId="0" xfId="0" applyFont="1" applyFill="1"/>
    <xf numFmtId="167" fontId="4" fillId="2" borderId="5" xfId="0" applyNumberFormat="1" applyFont="1" applyFill="1" applyBorder="1"/>
    <xf numFmtId="1" fontId="4" fillId="2" borderId="6" xfId="0" applyNumberFormat="1" applyFont="1" applyFill="1" applyBorder="1"/>
    <xf numFmtId="1" fontId="7" fillId="3" borderId="6" xfId="0" applyNumberFormat="1" applyFont="1" applyFill="1" applyBorder="1" applyAlignment="1">
      <alignment horizontal="center"/>
    </xf>
    <xf numFmtId="169" fontId="18" fillId="0" borderId="0" xfId="0" applyNumberFormat="1" applyFont="1"/>
    <xf numFmtId="0" fontId="18" fillId="0" borderId="23" xfId="0" applyFont="1" applyBorder="1"/>
    <xf numFmtId="0" fontId="18" fillId="0" borderId="24" xfId="0" applyFont="1" applyBorder="1"/>
    <xf numFmtId="0" fontId="18" fillId="0" borderId="25" xfId="0" applyFont="1" applyBorder="1"/>
    <xf numFmtId="0" fontId="17" fillId="0" borderId="0" xfId="0" applyFont="1"/>
    <xf numFmtId="0" fontId="18" fillId="0" borderId="15" xfId="0" applyFont="1" applyBorder="1"/>
    <xf numFmtId="0" fontId="18" fillId="0" borderId="17" xfId="0" applyFont="1" applyBorder="1"/>
    <xf numFmtId="0" fontId="18" fillId="0" borderId="16" xfId="0" applyFont="1" applyBorder="1"/>
    <xf numFmtId="0" fontId="17" fillId="0" borderId="18" xfId="0" applyFont="1" applyBorder="1"/>
    <xf numFmtId="168" fontId="17" fillId="0" borderId="19" xfId="1" applyNumberFormat="1" applyFont="1" applyBorder="1"/>
    <xf numFmtId="0" fontId="17" fillId="0" borderId="0" xfId="0" applyFont="1" applyBorder="1"/>
    <xf numFmtId="0" fontId="17" fillId="0" borderId="20" xfId="0" applyFont="1" applyBorder="1"/>
    <xf numFmtId="168" fontId="17" fillId="0" borderId="22" xfId="1" applyNumberFormat="1" applyFont="1" applyBorder="1"/>
    <xf numFmtId="0" fontId="17" fillId="0" borderId="21" xfId="0" applyFont="1" applyBorder="1"/>
    <xf numFmtId="0" fontId="18" fillId="0" borderId="20" xfId="0" applyFont="1" applyBorder="1"/>
    <xf numFmtId="168" fontId="18" fillId="0" borderId="22" xfId="1" applyNumberFormat="1" applyFont="1" applyBorder="1"/>
    <xf numFmtId="0" fontId="18" fillId="0" borderId="21" xfId="0" applyFont="1" applyBorder="1"/>
    <xf numFmtId="0" fontId="18" fillId="0" borderId="0" xfId="0" applyFont="1"/>
    <xf numFmtId="0" fontId="0" fillId="7" borderId="0" xfId="0" applyFill="1"/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</cellXfs>
  <cellStyles count="4">
    <cellStyle name="Milliers" xfId="1" builtinId="3"/>
    <cellStyle name="Normal" xfId="0" builtinId="0"/>
    <cellStyle name="Normal 2" xfId="3" xr:uid="{00000000-0005-0000-0000-000002000000}"/>
    <cellStyle name="Pourcentage" xfId="2" builtinId="5"/>
  </cellStyles>
  <dxfs count="3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8"/>
      <tableStyleElement type="headerRow" dxfId="37"/>
    </tableStyle>
  </tableStyles>
  <colors>
    <mruColors>
      <color rgb="FF3333FF"/>
      <color rgb="FFCCFFCC"/>
      <color rgb="FFFF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StressTest (lx)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Stress_Scenario_Premium_ATDD!$B$9</c:f>
              <c:strCache>
                <c:ptCount val="1"/>
                <c:pt idx="0">
                  <c:v>lx</c:v>
                </c:pt>
              </c:strCache>
            </c:strRef>
          </c:tx>
          <c:marker>
            <c:symbol val="none"/>
          </c:marker>
          <c:cat>
            <c:numRef>
              <c:f>Stress_Scenario_Premium_ATDD!$A$10:$A$120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cat>
          <c:val>
            <c:numRef>
              <c:f>Stress_Scenario_Premium_ATDD!$B$10:$B$120</c:f>
              <c:numCache>
                <c:formatCode>General</c:formatCode>
                <c:ptCount val="111"/>
                <c:pt idx="0">
                  <c:v>100000</c:v>
                </c:pt>
                <c:pt idx="1">
                  <c:v>99511</c:v>
                </c:pt>
                <c:pt idx="2">
                  <c:v>99473</c:v>
                </c:pt>
                <c:pt idx="3">
                  <c:v>99446</c:v>
                </c:pt>
                <c:pt idx="4">
                  <c:v>99424</c:v>
                </c:pt>
                <c:pt idx="5">
                  <c:v>99406</c:v>
                </c:pt>
                <c:pt idx="6">
                  <c:v>99390</c:v>
                </c:pt>
                <c:pt idx="7">
                  <c:v>99376</c:v>
                </c:pt>
                <c:pt idx="8">
                  <c:v>99363</c:v>
                </c:pt>
                <c:pt idx="9">
                  <c:v>99350</c:v>
                </c:pt>
                <c:pt idx="10">
                  <c:v>99338</c:v>
                </c:pt>
                <c:pt idx="11">
                  <c:v>99325</c:v>
                </c:pt>
                <c:pt idx="12">
                  <c:v>99312</c:v>
                </c:pt>
                <c:pt idx="13">
                  <c:v>99296</c:v>
                </c:pt>
                <c:pt idx="14">
                  <c:v>99276</c:v>
                </c:pt>
                <c:pt idx="15">
                  <c:v>99250</c:v>
                </c:pt>
                <c:pt idx="16">
                  <c:v>99213</c:v>
                </c:pt>
                <c:pt idx="17">
                  <c:v>99163</c:v>
                </c:pt>
                <c:pt idx="18">
                  <c:v>99097</c:v>
                </c:pt>
                <c:pt idx="19">
                  <c:v>99015</c:v>
                </c:pt>
                <c:pt idx="20">
                  <c:v>98921</c:v>
                </c:pt>
                <c:pt idx="21">
                  <c:v>98820</c:v>
                </c:pt>
                <c:pt idx="22">
                  <c:v>98716</c:v>
                </c:pt>
                <c:pt idx="23">
                  <c:v>98612</c:v>
                </c:pt>
                <c:pt idx="24">
                  <c:v>98509</c:v>
                </c:pt>
                <c:pt idx="25">
                  <c:v>98406</c:v>
                </c:pt>
                <c:pt idx="26">
                  <c:v>98303</c:v>
                </c:pt>
                <c:pt idx="27">
                  <c:v>98198</c:v>
                </c:pt>
                <c:pt idx="28">
                  <c:v>98091</c:v>
                </c:pt>
                <c:pt idx="29">
                  <c:v>97982</c:v>
                </c:pt>
                <c:pt idx="30">
                  <c:v>97870</c:v>
                </c:pt>
                <c:pt idx="31">
                  <c:v>97756</c:v>
                </c:pt>
                <c:pt idx="32">
                  <c:v>97639</c:v>
                </c:pt>
                <c:pt idx="33">
                  <c:v>97517</c:v>
                </c:pt>
                <c:pt idx="34">
                  <c:v>97388</c:v>
                </c:pt>
                <c:pt idx="35">
                  <c:v>97249</c:v>
                </c:pt>
                <c:pt idx="36">
                  <c:v>97100</c:v>
                </c:pt>
                <c:pt idx="37">
                  <c:v>96939</c:v>
                </c:pt>
                <c:pt idx="38">
                  <c:v>96765</c:v>
                </c:pt>
                <c:pt idx="39">
                  <c:v>96576</c:v>
                </c:pt>
                <c:pt idx="40">
                  <c:v>96369</c:v>
                </c:pt>
                <c:pt idx="41">
                  <c:v>96141</c:v>
                </c:pt>
                <c:pt idx="42">
                  <c:v>95887</c:v>
                </c:pt>
                <c:pt idx="43">
                  <c:v>95606</c:v>
                </c:pt>
                <c:pt idx="44">
                  <c:v>95295</c:v>
                </c:pt>
                <c:pt idx="45">
                  <c:v>94952</c:v>
                </c:pt>
                <c:pt idx="46">
                  <c:v>94575</c:v>
                </c:pt>
                <c:pt idx="47">
                  <c:v>94164</c:v>
                </c:pt>
                <c:pt idx="48">
                  <c:v>93720</c:v>
                </c:pt>
                <c:pt idx="49">
                  <c:v>93244</c:v>
                </c:pt>
                <c:pt idx="50">
                  <c:v>92736</c:v>
                </c:pt>
                <c:pt idx="51">
                  <c:v>92196</c:v>
                </c:pt>
                <c:pt idx="52">
                  <c:v>91621</c:v>
                </c:pt>
                <c:pt idx="53">
                  <c:v>91009</c:v>
                </c:pt>
                <c:pt idx="54">
                  <c:v>90358</c:v>
                </c:pt>
                <c:pt idx="55">
                  <c:v>89665</c:v>
                </c:pt>
                <c:pt idx="56">
                  <c:v>88929</c:v>
                </c:pt>
                <c:pt idx="57">
                  <c:v>88151</c:v>
                </c:pt>
                <c:pt idx="58">
                  <c:v>87329</c:v>
                </c:pt>
                <c:pt idx="59">
                  <c:v>86460</c:v>
                </c:pt>
                <c:pt idx="60">
                  <c:v>85538</c:v>
                </c:pt>
                <c:pt idx="61">
                  <c:v>84558</c:v>
                </c:pt>
                <c:pt idx="62">
                  <c:v>83514</c:v>
                </c:pt>
                <c:pt idx="63">
                  <c:v>82399</c:v>
                </c:pt>
                <c:pt idx="64">
                  <c:v>81206</c:v>
                </c:pt>
                <c:pt idx="65">
                  <c:v>79926</c:v>
                </c:pt>
                <c:pt idx="66">
                  <c:v>78552</c:v>
                </c:pt>
                <c:pt idx="67">
                  <c:v>77078</c:v>
                </c:pt>
                <c:pt idx="68">
                  <c:v>75501</c:v>
                </c:pt>
                <c:pt idx="69">
                  <c:v>73816</c:v>
                </c:pt>
                <c:pt idx="70">
                  <c:v>72019</c:v>
                </c:pt>
                <c:pt idx="71">
                  <c:v>70105</c:v>
                </c:pt>
                <c:pt idx="72">
                  <c:v>68070</c:v>
                </c:pt>
                <c:pt idx="73">
                  <c:v>65914</c:v>
                </c:pt>
                <c:pt idx="74">
                  <c:v>63637</c:v>
                </c:pt>
                <c:pt idx="75">
                  <c:v>61239</c:v>
                </c:pt>
                <c:pt idx="76">
                  <c:v>58718</c:v>
                </c:pt>
                <c:pt idx="77">
                  <c:v>56072</c:v>
                </c:pt>
                <c:pt idx="78">
                  <c:v>53303</c:v>
                </c:pt>
                <c:pt idx="79">
                  <c:v>50411</c:v>
                </c:pt>
                <c:pt idx="80">
                  <c:v>47390</c:v>
                </c:pt>
                <c:pt idx="81">
                  <c:v>44234</c:v>
                </c:pt>
                <c:pt idx="82">
                  <c:v>40946</c:v>
                </c:pt>
                <c:pt idx="83">
                  <c:v>37546</c:v>
                </c:pt>
                <c:pt idx="84">
                  <c:v>34072</c:v>
                </c:pt>
                <c:pt idx="85">
                  <c:v>30575</c:v>
                </c:pt>
                <c:pt idx="86">
                  <c:v>27104</c:v>
                </c:pt>
                <c:pt idx="87">
                  <c:v>23707</c:v>
                </c:pt>
                <c:pt idx="88">
                  <c:v>20435</c:v>
                </c:pt>
                <c:pt idx="89">
                  <c:v>17338</c:v>
                </c:pt>
                <c:pt idx="90">
                  <c:v>14464</c:v>
                </c:pt>
                <c:pt idx="91">
                  <c:v>11852</c:v>
                </c:pt>
                <c:pt idx="92">
                  <c:v>9526</c:v>
                </c:pt>
                <c:pt idx="93">
                  <c:v>7498</c:v>
                </c:pt>
                <c:pt idx="94">
                  <c:v>5769</c:v>
                </c:pt>
                <c:pt idx="95">
                  <c:v>4331</c:v>
                </c:pt>
                <c:pt idx="96">
                  <c:v>3166</c:v>
                </c:pt>
                <c:pt idx="97">
                  <c:v>2249</c:v>
                </c:pt>
                <c:pt idx="98">
                  <c:v>1549</c:v>
                </c:pt>
                <c:pt idx="99">
                  <c:v>1032</c:v>
                </c:pt>
                <c:pt idx="100">
                  <c:v>663</c:v>
                </c:pt>
                <c:pt idx="101">
                  <c:v>410</c:v>
                </c:pt>
                <c:pt idx="102">
                  <c:v>244</c:v>
                </c:pt>
                <c:pt idx="103">
                  <c:v>139</c:v>
                </c:pt>
                <c:pt idx="104">
                  <c:v>75</c:v>
                </c:pt>
                <c:pt idx="105">
                  <c:v>39</c:v>
                </c:pt>
                <c:pt idx="106">
                  <c:v>19</c:v>
                </c:pt>
                <c:pt idx="107">
                  <c:v>9</c:v>
                </c:pt>
                <c:pt idx="108">
                  <c:v>4</c:v>
                </c:pt>
                <c:pt idx="109">
                  <c:v>2</c:v>
                </c:pt>
                <c:pt idx="1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07-486E-B4A9-775F8273D8D4}"/>
            </c:ext>
          </c:extLst>
        </c:ser>
        <c:ser>
          <c:idx val="1"/>
          <c:order val="1"/>
          <c:tx>
            <c:strRef>
              <c:f>Stress_Scenario_Premium_ATDD!$E$9</c:f>
              <c:strCache>
                <c:ptCount val="1"/>
                <c:pt idx="0">
                  <c:v>lx stressed</c:v>
                </c:pt>
              </c:strCache>
            </c:strRef>
          </c:tx>
          <c:marker>
            <c:symbol val="none"/>
          </c:marker>
          <c:cat>
            <c:numRef>
              <c:f>Stress_Scenario_Premium_ATDD!$A$10:$A$120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cat>
          <c:val>
            <c:numRef>
              <c:f>Stress_Scenario_Premium_ATDD!$E$10:$E$120</c:f>
              <c:numCache>
                <c:formatCode>0</c:formatCode>
                <c:ptCount val="111"/>
                <c:pt idx="0">
                  <c:v>100000</c:v>
                </c:pt>
                <c:pt idx="1">
                  <c:v>99486.55</c:v>
                </c:pt>
                <c:pt idx="2">
                  <c:v>99446.659803489063</c:v>
                </c:pt>
                <c:pt idx="3">
                  <c:v>99418.317310496714</c:v>
                </c:pt>
                <c:pt idx="4">
                  <c:v>99395.223740821995</c:v>
                </c:pt>
                <c:pt idx="5">
                  <c:v>99376.329211043456</c:v>
                </c:pt>
                <c:pt idx="6">
                  <c:v>99359.534225522002</c:v>
                </c:pt>
                <c:pt idx="7">
                  <c:v>99344.838731477168</c:v>
                </c:pt>
                <c:pt idx="8">
                  <c:v>99331.19301169891</c:v>
                </c:pt>
                <c:pt idx="9">
                  <c:v>99317.54738118645</c:v>
                </c:pt>
                <c:pt idx="10">
                  <c:v>99304.951496969006</c:v>
                </c:pt>
                <c:pt idx="11">
                  <c:v>99291.306038152296</c:v>
                </c:pt>
                <c:pt idx="12">
                  <c:v>99277.660668633835</c:v>
                </c:pt>
                <c:pt idx="13">
                  <c:v>99260.86647760724</c:v>
                </c:pt>
                <c:pt idx="14">
                  <c:v>99239.8739079566</c:v>
                </c:pt>
                <c:pt idx="15">
                  <c:v>99212.583842304404</c:v>
                </c:pt>
                <c:pt idx="16">
                  <c:v>99173.748488326833</c:v>
                </c:pt>
                <c:pt idx="17">
                  <c:v>99121.269258834363</c:v>
                </c:pt>
                <c:pt idx="18">
                  <c:v>99051.998422336503</c:v>
                </c:pt>
                <c:pt idx="19">
                  <c:v>98965.937521762695</c:v>
                </c:pt>
                <c:pt idx="20">
                  <c:v>98867.286428156702</c:v>
                </c:pt>
                <c:pt idx="21">
                  <c:v>98761.294012737257</c:v>
                </c:pt>
                <c:pt idx="22">
                  <c:v>98652.158885170051</c:v>
                </c:pt>
                <c:pt idx="23">
                  <c:v>98543.029506444611</c:v>
                </c:pt>
                <c:pt idx="24">
                  <c:v>98434.955147937319</c:v>
                </c:pt>
                <c:pt idx="25">
                  <c:v>98326.88643950205</c:v>
                </c:pt>
                <c:pt idx="26">
                  <c:v>98218.82338675698</c:v>
                </c:pt>
                <c:pt idx="27">
                  <c:v>98108.667793556466</c:v>
                </c:pt>
                <c:pt idx="28">
                  <c:v>97996.420000051439</c:v>
                </c:pt>
                <c:pt idx="29">
                  <c:v>97882.080353508878</c:v>
                </c:pt>
                <c:pt idx="30">
                  <c:v>97764.600279111823</c:v>
                </c:pt>
                <c:pt idx="31">
                  <c:v>97645.029188344386</c:v>
                </c:pt>
                <c:pt idx="32">
                  <c:v>97522.318645402906</c:v>
                </c:pt>
                <c:pt idx="33">
                  <c:v>97394.371728510305</c:v>
                </c:pt>
                <c:pt idx="34">
                  <c:v>97259.092057779795</c:v>
                </c:pt>
                <c:pt idx="35">
                  <c:v>97113.335244970891</c:v>
                </c:pt>
                <c:pt idx="36">
                  <c:v>96957.103496581956</c:v>
                </c:pt>
                <c:pt idx="37">
                  <c:v>96788.302277775612</c:v>
                </c:pt>
                <c:pt idx="38">
                  <c:v>96605.886296321813</c:v>
                </c:pt>
                <c:pt idx="39">
                  <c:v>96407.762613838422</c:v>
                </c:pt>
                <c:pt idx="40">
                  <c:v>96190.791242026389</c:v>
                </c:pt>
                <c:pt idx="41">
                  <c:v>95951.833948463711</c:v>
                </c:pt>
                <c:pt idx="42">
                  <c:v>95685.658704664966</c:v>
                </c:pt>
                <c:pt idx="43">
                  <c:v>95391.228243801539</c:v>
                </c:pt>
                <c:pt idx="44">
                  <c:v>95065.411814048028</c:v>
                </c:pt>
                <c:pt idx="45">
                  <c:v>94706.129500549636</c:v>
                </c:pt>
                <c:pt idx="46">
                  <c:v>94311.304522004764</c:v>
                </c:pt>
                <c:pt idx="47">
                  <c:v>93880.957776390467</c:v>
                </c:pt>
                <c:pt idx="48">
                  <c:v>93416.159100512712</c:v>
                </c:pt>
                <c:pt idx="49">
                  <c:v>92917.979455629698</c:v>
                </c:pt>
                <c:pt idx="50">
                  <c:v>92386.444448105001</c:v>
                </c:pt>
                <c:pt idx="51">
                  <c:v>91821.581676343485</c:v>
                </c:pt>
                <c:pt idx="52">
                  <c:v>91220.283572986591</c:v>
                </c:pt>
                <c:pt idx="53">
                  <c:v>90580.494068135071</c:v>
                </c:pt>
                <c:pt idx="54">
                  <c:v>89900.162488617949</c:v>
                </c:pt>
                <c:pt idx="55">
                  <c:v>89176.19943902806</c:v>
                </c:pt>
                <c:pt idx="56">
                  <c:v>88407.612287670447</c:v>
                </c:pt>
                <c:pt idx="57">
                  <c:v>87595.501744677749</c:v>
                </c:pt>
                <c:pt idx="58">
                  <c:v>86737.840713539917</c:v>
                </c:pt>
                <c:pt idx="59">
                  <c:v>85831.567393576683</c:v>
                </c:pt>
                <c:pt idx="60">
                  <c:v>84870.504007112177</c:v>
                </c:pt>
                <c:pt idx="61">
                  <c:v>83849.53381113708</c:v>
                </c:pt>
                <c:pt idx="62">
                  <c:v>82762.518283762169</c:v>
                </c:pt>
                <c:pt idx="63">
                  <c:v>81602.303011104712</c:v>
                </c:pt>
                <c:pt idx="64">
                  <c:v>80361.76459599215</c:v>
                </c:pt>
                <c:pt idx="65">
                  <c:v>79031.73711505461</c:v>
                </c:pt>
                <c:pt idx="66">
                  <c:v>77605.178959562167</c:v>
                </c:pt>
                <c:pt idx="67">
                  <c:v>76076.13405331262</c:v>
                </c:pt>
                <c:pt idx="68">
                  <c:v>74441.806922715332</c:v>
                </c:pt>
                <c:pt idx="69">
                  <c:v>72697.377486045443</c:v>
                </c:pt>
                <c:pt idx="70">
                  <c:v>70839.121190533027</c:v>
                </c:pt>
                <c:pt idx="71">
                  <c:v>68862.345869345358</c:v>
                </c:pt>
                <c:pt idx="72">
                  <c:v>66763.47107387679</c:v>
                </c:pt>
                <c:pt idx="73">
                  <c:v>64543.122229789202</c:v>
                </c:pt>
                <c:pt idx="74">
                  <c:v>62201.997069988684</c:v>
                </c:pt>
                <c:pt idx="75">
                  <c:v>59740.875263138514</c:v>
                </c:pt>
                <c:pt idx="76">
                  <c:v>57158.581563612221</c:v>
                </c:pt>
                <c:pt idx="77">
                  <c:v>54454.066982765049</c:v>
                </c:pt>
                <c:pt idx="78">
                  <c:v>51630.510179921555</c:v>
                </c:pt>
                <c:pt idx="79">
                  <c:v>48689.189668649211</c:v>
                </c:pt>
                <c:pt idx="80">
                  <c:v>45625.48246013443</c:v>
                </c:pt>
                <c:pt idx="81">
                  <c:v>42435.06836905206</c:v>
                </c:pt>
                <c:pt idx="82">
                  <c:v>39123.072392262366</c:v>
                </c:pt>
                <c:pt idx="83">
                  <c:v>35712.009811292875</c:v>
                </c:pt>
                <c:pt idx="84">
                  <c:v>32242.487140738009</c:v>
                </c:pt>
                <c:pt idx="85">
                  <c:v>28767.798939055723</c:v>
                </c:pt>
                <c:pt idx="86">
                  <c:v>25338.667896591767</c:v>
                </c:pt>
                <c:pt idx="87">
                  <c:v>22004.133230603045</c:v>
                </c:pt>
                <c:pt idx="88">
                  <c:v>18815.311358284329</c:v>
                </c:pt>
                <c:pt idx="89">
                  <c:v>15821.204666802221</c:v>
                </c:pt>
                <c:pt idx="90">
                  <c:v>13067.504740454944</c:v>
                </c:pt>
                <c:pt idx="91">
                  <c:v>10589.702023283226</c:v>
                </c:pt>
                <c:pt idx="92">
                  <c:v>8407.5193324745342</c:v>
                </c:pt>
                <c:pt idx="93">
                  <c:v>6528.1395648311081</c:v>
                </c:pt>
                <c:pt idx="94">
                  <c:v>4947.516602311418</c:v>
                </c:pt>
                <c:pt idx="95">
                  <c:v>3652.6205513788454</c:v>
                </c:pt>
                <c:pt idx="96">
                  <c:v>2620.972412502334</c:v>
                </c:pt>
                <c:pt idx="97">
                  <c:v>1823.8772490854442</c:v>
                </c:pt>
                <c:pt idx="98">
                  <c:v>1227.81243002017</c:v>
                </c:pt>
                <c:pt idx="99">
                  <c:v>797.5232256067103</c:v>
                </c:pt>
                <c:pt idx="100">
                  <c:v>498.10425878372592</c:v>
                </c:pt>
                <c:pt idx="101">
                  <c:v>298.52447545658146</c:v>
                </c:pt>
                <c:pt idx="102">
                  <c:v>171.61516796369816</c:v>
                </c:pt>
                <c:pt idx="103">
                  <c:v>94.071838996494364</c:v>
                </c:pt>
                <c:pt idx="104">
                  <c:v>48.592503884520106</c:v>
                </c:pt>
                <c:pt idx="105">
                  <c:v>24.101881926721973</c:v>
                </c:pt>
                <c:pt idx="106">
                  <c:v>11.123945504640911</c:v>
                </c:pt>
                <c:pt idx="107">
                  <c:v>4.9765019362867218</c:v>
                </c:pt>
                <c:pt idx="108">
                  <c:v>2.0735424734528007</c:v>
                </c:pt>
                <c:pt idx="109">
                  <c:v>0.9849326748900803</c:v>
                </c:pt>
                <c:pt idx="110">
                  <c:v>0.46784302057278809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07-486E-B4A9-775F8273D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465571648"/>
        <c:axId val="-1468154048"/>
      </c:lineChart>
      <c:catAx>
        <c:axId val="-146557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1468154048"/>
        <c:crosses val="autoZero"/>
        <c:auto val="1"/>
        <c:lblAlgn val="ctr"/>
        <c:lblOffset val="100"/>
        <c:noMultiLvlLbl val="0"/>
      </c:catAx>
      <c:valAx>
        <c:axId val="-1468154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1465571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StressTest (qx)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Stress_Scenario_Premium_ATDD!$C$9</c:f>
              <c:strCache>
                <c:ptCount val="1"/>
                <c:pt idx="0">
                  <c:v>qx</c:v>
                </c:pt>
              </c:strCache>
            </c:strRef>
          </c:tx>
          <c:marker>
            <c:symbol val="none"/>
          </c:marker>
          <c:cat>
            <c:numRef>
              <c:f>Stress_Scenario_Premium_ATDD!$A$10:$A$120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cat>
          <c:val>
            <c:numRef>
              <c:f>Stress_Scenario_Premium_ATDD!$C$10:$C$120</c:f>
              <c:numCache>
                <c:formatCode>0.00000</c:formatCode>
                <c:ptCount val="111"/>
                <c:pt idx="0">
                  <c:v>4.8899999999999499E-3</c:v>
                </c:pt>
                <c:pt idx="1">
                  <c:v>3.8186733124978556E-4</c:v>
                </c:pt>
                <c:pt idx="2">
                  <c:v>2.714304384103805E-4</c:v>
                </c:pt>
                <c:pt idx="3">
                  <c:v>2.2122558976733764E-4</c:v>
                </c:pt>
                <c:pt idx="4">
                  <c:v>1.8104280656583427E-4</c:v>
                </c:pt>
                <c:pt idx="5">
                  <c:v>1.6095607910993071E-4</c:v>
                </c:pt>
                <c:pt idx="6">
                  <c:v>1.4085924137241523E-4</c:v>
                </c:pt>
                <c:pt idx="7">
                  <c:v>1.308162936725088E-4</c:v>
                </c:pt>
                <c:pt idx="8">
                  <c:v>1.3083340881414607E-4</c:v>
                </c:pt>
                <c:pt idx="9">
                  <c:v>1.2078510317059532E-4</c:v>
                </c:pt>
                <c:pt idx="10">
                  <c:v>1.3086633513859081E-4</c:v>
                </c:pt>
                <c:pt idx="11">
                  <c:v>1.3088346337775114E-4</c:v>
                </c:pt>
                <c:pt idx="12">
                  <c:v>1.6110842597072406E-4</c:v>
                </c:pt>
                <c:pt idx="13">
                  <c:v>2.014179825975404E-4</c:v>
                </c:pt>
                <c:pt idx="14">
                  <c:v>2.6189612796645445E-4</c:v>
                </c:pt>
                <c:pt idx="15">
                  <c:v>3.7279596977335405E-4</c:v>
                </c:pt>
                <c:pt idx="16">
                  <c:v>5.0396621410497833E-4</c:v>
                </c:pt>
                <c:pt idx="17">
                  <c:v>6.6557082782892074E-4</c:v>
                </c:pt>
                <c:pt idx="18">
                  <c:v>8.2747207281752555E-4</c:v>
                </c:pt>
                <c:pt idx="19">
                  <c:v>9.4935110841787296E-4</c:v>
                </c:pt>
                <c:pt idx="20">
                  <c:v>1.0210167709586715E-3</c:v>
                </c:pt>
                <c:pt idx="21">
                  <c:v>1.0524185387573715E-3</c:v>
                </c:pt>
                <c:pt idx="22">
                  <c:v>1.0535272904088622E-3</c:v>
                </c:pt>
                <c:pt idx="23">
                  <c:v>1.0444976270636008E-3</c:v>
                </c:pt>
                <c:pt idx="24">
                  <c:v>1.0455897430691197E-3</c:v>
                </c:pt>
                <c:pt idx="25">
                  <c:v>1.0466841452756448E-3</c:v>
                </c:pt>
                <c:pt idx="26">
                  <c:v>1.0681260999155784E-3</c:v>
                </c:pt>
                <c:pt idx="27">
                  <c:v>1.0896352267867337E-3</c:v>
                </c:pt>
                <c:pt idx="28">
                  <c:v>1.1112130572631385E-3</c:v>
                </c:pt>
                <c:pt idx="29">
                  <c:v>1.1430670939560628E-3</c:v>
                </c:pt>
                <c:pt idx="30">
                  <c:v>1.1648104628588785E-3</c:v>
                </c:pt>
                <c:pt idx="31">
                  <c:v>1.1968574818936872E-3</c:v>
                </c:pt>
                <c:pt idx="32">
                  <c:v>1.24950071180574E-3</c:v>
                </c:pt>
                <c:pt idx="33">
                  <c:v>1.3228462729575341E-3</c:v>
                </c:pt>
                <c:pt idx="34">
                  <c:v>1.4272805684478751E-3</c:v>
                </c:pt>
                <c:pt idx="35">
                  <c:v>1.5321494308424555E-3</c:v>
                </c:pt>
                <c:pt idx="36">
                  <c:v>1.6580844490216018E-3</c:v>
                </c:pt>
                <c:pt idx="37">
                  <c:v>1.7949432117104758E-3</c:v>
                </c:pt>
                <c:pt idx="38">
                  <c:v>1.9531855526274677E-3</c:v>
                </c:pt>
                <c:pt idx="39">
                  <c:v>2.1433896620278725E-3</c:v>
                </c:pt>
                <c:pt idx="40">
                  <c:v>2.3659060486256323E-3</c:v>
                </c:pt>
                <c:pt idx="41">
                  <c:v>2.6419529649160944E-3</c:v>
                </c:pt>
                <c:pt idx="42">
                  <c:v>2.9305328146672638E-3</c:v>
                </c:pt>
                <c:pt idx="43">
                  <c:v>3.252933916281453E-3</c:v>
                </c:pt>
                <c:pt idx="44">
                  <c:v>3.5993493887401806E-3</c:v>
                </c:pt>
                <c:pt idx="45">
                  <c:v>3.9704271631982868E-3</c:v>
                </c:pt>
                <c:pt idx="46">
                  <c:v>4.3457573354480639E-3</c:v>
                </c:pt>
                <c:pt idx="47">
                  <c:v>4.715177774945789E-3</c:v>
                </c:pt>
                <c:pt idx="48">
                  <c:v>5.0789586000853371E-3</c:v>
                </c:pt>
                <c:pt idx="49">
                  <c:v>5.4480717257946454E-3</c:v>
                </c:pt>
                <c:pt idx="50">
                  <c:v>5.8229813664596453E-3</c:v>
                </c:pt>
                <c:pt idx="51">
                  <c:v>6.2367130895050193E-3</c:v>
                </c:pt>
                <c:pt idx="52">
                  <c:v>6.67969133713886E-3</c:v>
                </c:pt>
                <c:pt idx="53">
                  <c:v>7.1531387005681069E-3</c:v>
                </c:pt>
                <c:pt idx="54">
                  <c:v>7.6694924633126105E-3</c:v>
                </c:pt>
                <c:pt idx="55">
                  <c:v>8.2083310098700624E-3</c:v>
                </c:pt>
                <c:pt idx="56">
                  <c:v>8.7485522158126106E-3</c:v>
                </c:pt>
                <c:pt idx="57">
                  <c:v>9.3249083958207857E-3</c:v>
                </c:pt>
                <c:pt idx="58">
                  <c:v>9.9508754251165232E-3</c:v>
                </c:pt>
                <c:pt idx="59">
                  <c:v>1.0663890816562605E-2</c:v>
                </c:pt>
                <c:pt idx="60">
                  <c:v>1.1456896350160117E-2</c:v>
                </c:pt>
                <c:pt idx="61">
                  <c:v>1.2346555027318518E-2</c:v>
                </c:pt>
                <c:pt idx="62">
                  <c:v>1.3351054912948745E-2</c:v>
                </c:pt>
                <c:pt idx="63">
                  <c:v>1.4478331047706905E-2</c:v>
                </c:pt>
                <c:pt idx="64">
                  <c:v>1.5762382089993365E-2</c:v>
                </c:pt>
                <c:pt idx="65">
                  <c:v>1.719090158396519E-2</c:v>
                </c:pt>
                <c:pt idx="66">
                  <c:v>1.8764639983705034E-2</c:v>
                </c:pt>
                <c:pt idx="67">
                  <c:v>2.045979397493447E-2</c:v>
                </c:pt>
                <c:pt idx="68">
                  <c:v>2.2317585197547007E-2</c:v>
                </c:pt>
                <c:pt idx="69">
                  <c:v>2.4344315595534849E-2</c:v>
                </c:pt>
                <c:pt idx="70">
                  <c:v>2.6576320137741472E-2</c:v>
                </c:pt>
                <c:pt idx="71">
                  <c:v>2.9027886741316622E-2</c:v>
                </c:pt>
                <c:pt idx="72">
                  <c:v>3.1673277508447173E-2</c:v>
                </c:pt>
                <c:pt idx="73">
                  <c:v>3.4545013199016927E-2</c:v>
                </c:pt>
                <c:pt idx="74">
                  <c:v>3.768248031805399E-2</c:v>
                </c:pt>
                <c:pt idx="75">
                  <c:v>4.1166576854618775E-2</c:v>
                </c:pt>
                <c:pt idx="76">
                  <c:v>4.5062842739875375E-2</c:v>
                </c:pt>
                <c:pt idx="77">
                  <c:v>4.9382936224853791E-2</c:v>
                </c:pt>
                <c:pt idx="78">
                  <c:v>5.4255858019248482E-2</c:v>
                </c:pt>
                <c:pt idx="79">
                  <c:v>5.9927396798317822E-2</c:v>
                </c:pt>
                <c:pt idx="80">
                  <c:v>6.6596328339312061E-2</c:v>
                </c:pt>
                <c:pt idx="81">
                  <c:v>7.4331961839309124E-2</c:v>
                </c:pt>
                <c:pt idx="82">
                  <c:v>8.3036194011625097E-2</c:v>
                </c:pt>
                <c:pt idx="83">
                  <c:v>9.2526500825653835E-2</c:v>
                </c:pt>
                <c:pt idx="84">
                  <c:v>0.1026355952101432</c:v>
                </c:pt>
                <c:pt idx="85">
                  <c:v>0.11352412101390019</c:v>
                </c:pt>
                <c:pt idx="86">
                  <c:v>0.12533205430932703</c:v>
                </c:pt>
                <c:pt idx="87">
                  <c:v>0.13801830682920657</c:v>
                </c:pt>
                <c:pt idx="88">
                  <c:v>0.15155370687545877</c:v>
                </c:pt>
                <c:pt idx="89">
                  <c:v>0.16576306379051797</c:v>
                </c:pt>
                <c:pt idx="90">
                  <c:v>0.18058628318584069</c:v>
                </c:pt>
                <c:pt idx="91">
                  <c:v>0.19625379682753963</c:v>
                </c:pt>
                <c:pt idx="92">
                  <c:v>0.21289103506193574</c:v>
                </c:pt>
                <c:pt idx="93">
                  <c:v>0.23059482528674313</c:v>
                </c:pt>
                <c:pt idx="94">
                  <c:v>0.24926330386548801</c:v>
                </c:pt>
                <c:pt idx="95">
                  <c:v>0.26899099515123526</c:v>
                </c:pt>
                <c:pt idx="96">
                  <c:v>0.2896399241945673</c:v>
                </c:pt>
                <c:pt idx="97">
                  <c:v>0.31124944419742107</c:v>
                </c:pt>
                <c:pt idx="98">
                  <c:v>0.33376371852808262</c:v>
                </c:pt>
                <c:pt idx="99">
                  <c:v>0.35755813953488369</c:v>
                </c:pt>
                <c:pt idx="100">
                  <c:v>0.38159879336349922</c:v>
                </c:pt>
                <c:pt idx="101">
                  <c:v>0.40487804878048783</c:v>
                </c:pt>
                <c:pt idx="102">
                  <c:v>0.43032786885245899</c:v>
                </c:pt>
                <c:pt idx="103">
                  <c:v>0.46043165467625902</c:v>
                </c:pt>
                <c:pt idx="104">
                  <c:v>0.48</c:v>
                </c:pt>
                <c:pt idx="105">
                  <c:v>0.51282051282051277</c:v>
                </c:pt>
                <c:pt idx="106">
                  <c:v>0.52631578947368429</c:v>
                </c:pt>
                <c:pt idx="107">
                  <c:v>0.55555555555555558</c:v>
                </c:pt>
                <c:pt idx="108">
                  <c:v>0.5</c:v>
                </c:pt>
                <c:pt idx="109">
                  <c:v>0.5</c:v>
                </c:pt>
                <c:pt idx="1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6E-4905-82B6-E899CE6B614B}"/>
            </c:ext>
          </c:extLst>
        </c:ser>
        <c:ser>
          <c:idx val="1"/>
          <c:order val="1"/>
          <c:tx>
            <c:strRef>
              <c:f>Stress_Scenario_Premium_ATDD!$D$9</c:f>
              <c:strCache>
                <c:ptCount val="1"/>
                <c:pt idx="0">
                  <c:v>qx stressed</c:v>
                </c:pt>
              </c:strCache>
            </c:strRef>
          </c:tx>
          <c:marker>
            <c:symbol val="none"/>
          </c:marker>
          <c:cat>
            <c:numRef>
              <c:f>Stress_Scenario_Premium_ATDD!$A$10:$A$120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cat>
          <c:val>
            <c:numRef>
              <c:f>Stress_Scenario_Premium_ATDD!$D$10:$D$120</c:f>
              <c:numCache>
                <c:formatCode>0.000000</c:formatCode>
                <c:ptCount val="111"/>
                <c:pt idx="0">
                  <c:v>5.1344999999999473E-3</c:v>
                </c:pt>
                <c:pt idx="1">
                  <c:v>4.0096069781227488E-4</c:v>
                </c:pt>
                <c:pt idx="2">
                  <c:v>2.8500196033089955E-4</c:v>
                </c:pt>
                <c:pt idx="3">
                  <c:v>2.3228686925570453E-4</c:v>
                </c:pt>
                <c:pt idx="4">
                  <c:v>1.9009494689412599E-4</c:v>
                </c:pt>
                <c:pt idx="5">
                  <c:v>1.6900388306542724E-4</c:v>
                </c:pt>
                <c:pt idx="6">
                  <c:v>1.4790220344103601E-4</c:v>
                </c:pt>
                <c:pt idx="7">
                  <c:v>1.3735710835613424E-4</c:v>
                </c:pt>
                <c:pt idx="8">
                  <c:v>1.3737507925485338E-4</c:v>
                </c:pt>
                <c:pt idx="9">
                  <c:v>1.268243583291251E-4</c:v>
                </c:pt>
                <c:pt idx="10">
                  <c:v>1.3740965189552035E-4</c:v>
                </c:pt>
                <c:pt idx="11">
                  <c:v>1.3742763654663869E-4</c:v>
                </c:pt>
                <c:pt idx="12">
                  <c:v>1.6916384726926026E-4</c:v>
                </c:pt>
                <c:pt idx="13">
                  <c:v>2.1148888172741744E-4</c:v>
                </c:pt>
                <c:pt idx="14">
                  <c:v>2.7499093436477719E-4</c:v>
                </c:pt>
                <c:pt idx="15">
                  <c:v>3.914357682620218E-4</c:v>
                </c:pt>
                <c:pt idx="16">
                  <c:v>5.2916452481022722E-4</c:v>
                </c:pt>
                <c:pt idx="17">
                  <c:v>6.9884936922036682E-4</c:v>
                </c:pt>
                <c:pt idx="18">
                  <c:v>8.6884567645840191E-4</c:v>
                </c:pt>
                <c:pt idx="19">
                  <c:v>9.9681866383876674E-4</c:v>
                </c:pt>
                <c:pt idx="20">
                  <c:v>1.072067609506605E-3</c:v>
                </c:pt>
                <c:pt idx="21">
                  <c:v>1.1050394656952401E-3</c:v>
                </c:pt>
                <c:pt idx="22">
                  <c:v>1.1062036549293053E-3</c:v>
                </c:pt>
                <c:pt idx="23">
                  <c:v>1.096722508416781E-3</c:v>
                </c:pt>
                <c:pt idx="24">
                  <c:v>1.0978692302225756E-3</c:v>
                </c:pt>
                <c:pt idx="25">
                  <c:v>1.0990183525394271E-3</c:v>
                </c:pt>
                <c:pt idx="26">
                  <c:v>1.1215324049113574E-3</c:v>
                </c:pt>
                <c:pt idx="27">
                  <c:v>1.1441169881260705E-3</c:v>
                </c:pt>
                <c:pt idx="28">
                  <c:v>1.1667737101262955E-3</c:v>
                </c:pt>
                <c:pt idx="29">
                  <c:v>1.2002204486538659E-3</c:v>
                </c:pt>
                <c:pt idx="30">
                  <c:v>1.2230509860018223E-3</c:v>
                </c:pt>
                <c:pt idx="31">
                  <c:v>1.2567003559883717E-3</c:v>
                </c:pt>
                <c:pt idx="32">
                  <c:v>1.311975747396027E-3</c:v>
                </c:pt>
                <c:pt idx="33">
                  <c:v>1.3889885866054108E-3</c:v>
                </c:pt>
                <c:pt idx="34">
                  <c:v>1.4986445968702689E-3</c:v>
                </c:pt>
                <c:pt idx="35">
                  <c:v>1.6087569023845783E-3</c:v>
                </c:pt>
                <c:pt idx="36">
                  <c:v>1.7409886714726819E-3</c:v>
                </c:pt>
                <c:pt idx="37">
                  <c:v>1.8846903722959996E-3</c:v>
                </c:pt>
                <c:pt idx="38">
                  <c:v>2.0508448302588413E-3</c:v>
                </c:pt>
                <c:pt idx="39">
                  <c:v>2.2505591451292663E-3</c:v>
                </c:pt>
                <c:pt idx="40">
                  <c:v>2.4842013510569141E-3</c:v>
                </c:pt>
                <c:pt idx="41">
                  <c:v>2.7740506131618994E-3</c:v>
                </c:pt>
                <c:pt idx="42">
                  <c:v>3.077059455400627E-3</c:v>
                </c:pt>
                <c:pt idx="43">
                  <c:v>3.4155806120955258E-3</c:v>
                </c:pt>
                <c:pt idx="44">
                  <c:v>3.7793168581771899E-3</c:v>
                </c:pt>
                <c:pt idx="45">
                  <c:v>4.168948521358201E-3</c:v>
                </c:pt>
                <c:pt idx="46">
                  <c:v>4.5630452022204669E-3</c:v>
                </c:pt>
                <c:pt idx="47">
                  <c:v>4.9509366636930783E-3</c:v>
                </c:pt>
                <c:pt idx="48">
                  <c:v>5.3329065300896043E-3</c:v>
                </c:pt>
                <c:pt idx="49">
                  <c:v>5.7204753120843775E-3</c:v>
                </c:pt>
                <c:pt idx="50">
                  <c:v>6.114130434782628E-3</c:v>
                </c:pt>
                <c:pt idx="51">
                  <c:v>6.548548743980271E-3</c:v>
                </c:pt>
                <c:pt idx="52">
                  <c:v>7.0136759039958032E-3</c:v>
                </c:pt>
                <c:pt idx="53">
                  <c:v>7.5107956355965127E-3</c:v>
                </c:pt>
                <c:pt idx="54">
                  <c:v>8.0529670864782407E-3</c:v>
                </c:pt>
                <c:pt idx="55">
                  <c:v>8.6187475603635658E-3</c:v>
                </c:pt>
                <c:pt idx="56">
                  <c:v>9.1859798266032411E-3</c:v>
                </c:pt>
                <c:pt idx="57">
                  <c:v>9.791153815611825E-3</c:v>
                </c:pt>
                <c:pt idx="58">
                  <c:v>1.0448419196372349E-2</c:v>
                </c:pt>
                <c:pt idx="59">
                  <c:v>1.1197085357390736E-2</c:v>
                </c:pt>
                <c:pt idx="60">
                  <c:v>1.2029741167668124E-2</c:v>
                </c:pt>
                <c:pt idx="61">
                  <c:v>1.2963882778684445E-2</c:v>
                </c:pt>
                <c:pt idx="62">
                  <c:v>1.4018607658596183E-2</c:v>
                </c:pt>
                <c:pt idx="63">
                  <c:v>1.5202247600092251E-2</c:v>
                </c:pt>
                <c:pt idx="64">
                  <c:v>1.6550501194493035E-2</c:v>
                </c:pt>
                <c:pt idx="65">
                  <c:v>1.8050446663163449E-2</c:v>
                </c:pt>
                <c:pt idx="66">
                  <c:v>1.9702871982890287E-2</c:v>
                </c:pt>
                <c:pt idx="67">
                  <c:v>2.1482783673681196E-2</c:v>
                </c:pt>
                <c:pt idx="68">
                  <c:v>2.343346445742436E-2</c:v>
                </c:pt>
                <c:pt idx="69">
                  <c:v>2.5561531375311593E-2</c:v>
                </c:pt>
                <c:pt idx="70">
                  <c:v>2.7905136144628546E-2</c:v>
                </c:pt>
                <c:pt idx="71">
                  <c:v>3.0479281078382454E-2</c:v>
                </c:pt>
                <c:pt idx="72">
                  <c:v>3.3256941383869532E-2</c:v>
                </c:pt>
                <c:pt idx="73">
                  <c:v>3.6272263858967778E-2</c:v>
                </c:pt>
                <c:pt idx="74">
                  <c:v>3.9566604333956694E-2</c:v>
                </c:pt>
                <c:pt idx="75">
                  <c:v>4.3224905697349714E-2</c:v>
                </c:pt>
                <c:pt idx="76">
                  <c:v>4.7315984876869145E-2</c:v>
                </c:pt>
                <c:pt idx="77">
                  <c:v>5.185208303609648E-2</c:v>
                </c:pt>
                <c:pt idx="78">
                  <c:v>5.696865092021091E-2</c:v>
                </c:pt>
                <c:pt idx="79">
                  <c:v>6.2923766638233722E-2</c:v>
                </c:pt>
                <c:pt idx="80">
                  <c:v>6.9926144756277661E-2</c:v>
                </c:pt>
                <c:pt idx="81">
                  <c:v>7.8048559931274589E-2</c:v>
                </c:pt>
                <c:pt idx="82">
                  <c:v>8.7188003712206349E-2</c:v>
                </c:pt>
                <c:pt idx="83">
                  <c:v>9.7152825866936535E-2</c:v>
                </c:pt>
                <c:pt idx="84">
                  <c:v>0.10776737497065036</c:v>
                </c:pt>
                <c:pt idx="85">
                  <c:v>0.11920032706459521</c:v>
                </c:pt>
                <c:pt idx="86">
                  <c:v>0.1315986570247934</c:v>
                </c:pt>
                <c:pt idx="87">
                  <c:v>0.14491922217066691</c:v>
                </c:pt>
                <c:pt idx="88">
                  <c:v>0.15913139221923173</c:v>
                </c:pt>
                <c:pt idx="89">
                  <c:v>0.17405121698004389</c:v>
                </c:pt>
                <c:pt idx="90">
                  <c:v>0.18961559734513272</c:v>
                </c:pt>
                <c:pt idx="91">
                  <c:v>0.20606648666891661</c:v>
                </c:pt>
                <c:pt idx="92">
                  <c:v>0.22353558681503255</c:v>
                </c:pt>
                <c:pt idx="93">
                  <c:v>0.24212456655108031</c:v>
                </c:pt>
                <c:pt idx="94">
                  <c:v>0.2617264690587624</c:v>
                </c:pt>
                <c:pt idx="95">
                  <c:v>0.28244054490879705</c:v>
                </c:pt>
                <c:pt idx="96">
                  <c:v>0.3041219204042957</c:v>
                </c:pt>
                <c:pt idx="97">
                  <c:v>0.32681191640729212</c:v>
                </c:pt>
                <c:pt idx="98">
                  <c:v>0.35045190445448676</c:v>
                </c:pt>
                <c:pt idx="99">
                  <c:v>0.37543604651162787</c:v>
                </c:pt>
                <c:pt idx="100">
                  <c:v>0.40067873303167423</c:v>
                </c:pt>
                <c:pt idx="101">
                  <c:v>0.42512195121951224</c:v>
                </c:pt>
                <c:pt idx="102">
                  <c:v>0.45184426229508196</c:v>
                </c:pt>
                <c:pt idx="103">
                  <c:v>0.48345323741007201</c:v>
                </c:pt>
                <c:pt idx="104">
                  <c:v>0.504</c:v>
                </c:pt>
                <c:pt idx="105">
                  <c:v>0.53846153846153844</c:v>
                </c:pt>
                <c:pt idx="106">
                  <c:v>0.55263157894736858</c:v>
                </c:pt>
                <c:pt idx="107">
                  <c:v>0.58333333333333337</c:v>
                </c:pt>
                <c:pt idx="108">
                  <c:v>0.52500000000000002</c:v>
                </c:pt>
                <c:pt idx="109">
                  <c:v>0.52500000000000002</c:v>
                </c:pt>
                <c:pt idx="1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6E-4905-82B6-E899CE6B6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468154592"/>
        <c:axId val="-1468155136"/>
      </c:lineChart>
      <c:catAx>
        <c:axId val="-146815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1468155136"/>
        <c:crosses val="autoZero"/>
        <c:auto val="1"/>
        <c:lblAlgn val="ctr"/>
        <c:lblOffset val="100"/>
        <c:noMultiLvlLbl val="0"/>
      </c:catAx>
      <c:valAx>
        <c:axId val="-1468155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qx</a:t>
                </a:r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-1468154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fr-FR" sz="1200" b="1" i="0" baseline="0">
                <a:effectLst/>
              </a:rPr>
              <a:t>Reserves &amp; Premiums</a:t>
            </a:r>
            <a:endParaRPr lang="fr-FR" sz="1200">
              <a:effectLst/>
            </a:endParaRPr>
          </a:p>
          <a:p>
            <a:pPr>
              <a:defRPr sz="1200"/>
            </a:pPr>
            <a:r>
              <a:rPr lang="fr-FR" sz="1200" b="1" i="0" baseline="0">
                <a:effectLst/>
              </a:rPr>
              <a:t>5 year Term Insurance premiums</a:t>
            </a:r>
            <a:endParaRPr lang="fr-FR" sz="1200">
              <a:effectLst/>
            </a:endParaRPr>
          </a:p>
          <a:p>
            <a:pPr>
              <a:defRPr sz="1200"/>
            </a:pPr>
            <a:r>
              <a:rPr lang="fr-FR" sz="1200" b="1" i="0" baseline="0">
                <a:effectLst/>
              </a:rPr>
              <a:t>(TD88-90, 1%, 50 years old, 5 year premiums)</a:t>
            </a:r>
            <a:endParaRPr lang="fr-FR" sz="12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Reserves_ATDD!$P$34</c:f>
              <c:strCache>
                <c:ptCount val="1"/>
                <c:pt idx="0">
                  <c:v>Natural Premium</c:v>
                </c:pt>
              </c:strCache>
            </c:strRef>
          </c:tx>
          <c:val>
            <c:numRef>
              <c:f>Reserves_ATDD!$P$35:$P$40</c:f>
              <c:numCache>
                <c:formatCode>General</c:formatCode>
                <c:ptCount val="6"/>
                <c:pt idx="0">
                  <c:v>0.57653280856035916</c:v>
                </c:pt>
                <c:pt idx="1">
                  <c:v>0.61749634549554133</c:v>
                </c:pt>
                <c:pt idx="2">
                  <c:v>0.66135557793454114</c:v>
                </c:pt>
                <c:pt idx="3">
                  <c:v>0.70823155451169062</c:v>
                </c:pt>
                <c:pt idx="4">
                  <c:v>0.75935568943689113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26-4475-AF92-E0EC05BB75DD}"/>
            </c:ext>
          </c:extLst>
        </c:ser>
        <c:ser>
          <c:idx val="1"/>
          <c:order val="1"/>
          <c:tx>
            <c:strRef>
              <c:f>Reserves_ATDD!$Q$34</c:f>
              <c:strCache>
                <c:ptCount val="1"/>
                <c:pt idx="0">
                  <c:v>Level Annual Premium</c:v>
                </c:pt>
              </c:strCache>
            </c:strRef>
          </c:tx>
          <c:val>
            <c:numRef>
              <c:f>Reserves_ATDD!$Q$35:$Q$40</c:f>
              <c:numCache>
                <c:formatCode>General</c:formatCode>
                <c:ptCount val="6"/>
                <c:pt idx="0">
                  <c:v>0.66309390174204563</c:v>
                </c:pt>
                <c:pt idx="1">
                  <c:v>0.66309390174204563</c:v>
                </c:pt>
                <c:pt idx="2">
                  <c:v>0.66309390174204563</c:v>
                </c:pt>
                <c:pt idx="3">
                  <c:v>0.66309390174204563</c:v>
                </c:pt>
                <c:pt idx="4">
                  <c:v>0.66309390174204563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26-4475-AF92-E0EC05BB75DD}"/>
            </c:ext>
          </c:extLst>
        </c:ser>
        <c:ser>
          <c:idx val="2"/>
          <c:order val="2"/>
          <c:tx>
            <c:strRef>
              <c:f>Reserves_ATDD!$R$34</c:f>
              <c:strCache>
                <c:ptCount val="1"/>
                <c:pt idx="0">
                  <c:v>Reserves</c:v>
                </c:pt>
              </c:strCache>
            </c:strRef>
          </c:tx>
          <c:val>
            <c:numRef>
              <c:f>Reserves_ATDD!$R$35:$R$40</c:f>
              <c:numCache>
                <c:formatCode>0.00000</c:formatCode>
                <c:ptCount val="6"/>
                <c:pt idx="0">
                  <c:v>0</c:v>
                </c:pt>
                <c:pt idx="1">
                  <c:v>8.7938769932207617E-2</c:v>
                </c:pt>
                <c:pt idx="2">
                  <c:v>0.13571812444370024</c:v>
                </c:pt>
                <c:pt idx="3">
                  <c:v>0.139764597102219</c:v>
                </c:pt>
                <c:pt idx="4">
                  <c:v>9.6261787694845502E-2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6-4475-AF92-E0EC05BB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66858112"/>
        <c:axId val="-1466859200"/>
      </c:lineChart>
      <c:catAx>
        <c:axId val="-1466858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-1466859200"/>
        <c:crosses val="autoZero"/>
        <c:auto val="1"/>
        <c:lblAlgn val="ctr"/>
        <c:lblOffset val="100"/>
        <c:noMultiLvlLbl val="0"/>
      </c:catAx>
      <c:valAx>
        <c:axId val="-1466859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Reserves &amp; Premiums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1466858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chart" Target="../charts/chart3.xml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19050</xdr:colOff>
          <xdr:row>2</xdr:row>
          <xdr:rowOff>9525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Mortality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495300</xdr:colOff>
      <xdr:row>0</xdr:row>
      <xdr:rowOff>85725</xdr:rowOff>
    </xdr:from>
    <xdr:to>
      <xdr:col>11</xdr:col>
      <xdr:colOff>333375</xdr:colOff>
      <xdr:row>3</xdr:row>
      <xdr:rowOff>85725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9675" y="85725"/>
          <a:ext cx="11144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1</xdr:row>
      <xdr:rowOff>19050</xdr:rowOff>
    </xdr:from>
    <xdr:to>
      <xdr:col>14</xdr:col>
      <xdr:colOff>133350</xdr:colOff>
      <xdr:row>2</xdr:row>
      <xdr:rowOff>95250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0325" y="180975"/>
          <a:ext cx="1352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485775</xdr:colOff>
      <xdr:row>4</xdr:row>
      <xdr:rowOff>161925</xdr:rowOff>
    </xdr:from>
    <xdr:to>
      <xdr:col>14</xdr:col>
      <xdr:colOff>76200</xdr:colOff>
      <xdr:row>7</xdr:row>
      <xdr:rowOff>38100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809625"/>
          <a:ext cx="141922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457200</xdr:colOff>
      <xdr:row>2</xdr:row>
      <xdr:rowOff>76200</xdr:rowOff>
    </xdr:from>
    <xdr:to>
      <xdr:col>16</xdr:col>
      <xdr:colOff>238125</xdr:colOff>
      <xdr:row>5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400050"/>
          <a:ext cx="132397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9525</xdr:rowOff>
        </xdr:from>
        <xdr:to>
          <xdr:col>4</xdr:col>
          <xdr:colOff>0</xdr:colOff>
          <xdr:row>4</xdr:row>
          <xdr:rowOff>123825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130267</xdr:colOff>
      <xdr:row>9</xdr:row>
      <xdr:rowOff>103661</xdr:rowOff>
    </xdr:from>
    <xdr:to>
      <xdr:col>14</xdr:col>
      <xdr:colOff>6163</xdr:colOff>
      <xdr:row>24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25</xdr:row>
      <xdr:rowOff>142875</xdr:rowOff>
    </xdr:from>
    <xdr:to>
      <xdr:col>14</xdr:col>
      <xdr:colOff>23813</xdr:colOff>
      <xdr:row>40</xdr:row>
      <xdr:rowOff>47620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1</xdr:row>
          <xdr:rowOff>57150</xdr:rowOff>
        </xdr:from>
        <xdr:to>
          <xdr:col>16</xdr:col>
          <xdr:colOff>209550</xdr:colOff>
          <xdr:row>3</xdr:row>
          <xdr:rowOff>76200</xdr:rowOff>
        </xdr:to>
        <xdr:sp macro="" textlink="">
          <xdr:nvSpPr>
            <xdr:cNvPr id="8193" name="Object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0</xdr:row>
          <xdr:rowOff>142875</xdr:rowOff>
        </xdr:from>
        <xdr:to>
          <xdr:col>13</xdr:col>
          <xdr:colOff>590550</xdr:colOff>
          <xdr:row>4</xdr:row>
          <xdr:rowOff>76200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561975</xdr:colOff>
          <xdr:row>0</xdr:row>
          <xdr:rowOff>85725</xdr:rowOff>
        </xdr:from>
        <xdr:to>
          <xdr:col>20</xdr:col>
          <xdr:colOff>771525</xdr:colOff>
          <xdr:row>4</xdr:row>
          <xdr:rowOff>66675</xdr:rowOff>
        </xdr:to>
        <xdr:sp macro="" textlink="">
          <xdr:nvSpPr>
            <xdr:cNvPr id="8195" name="Object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114300</xdr:colOff>
          <xdr:row>1</xdr:row>
          <xdr:rowOff>133350</xdr:rowOff>
        </xdr:from>
        <xdr:to>
          <xdr:col>30</xdr:col>
          <xdr:colOff>238125</xdr:colOff>
          <xdr:row>4</xdr:row>
          <xdr:rowOff>38100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238125</xdr:colOff>
          <xdr:row>0</xdr:row>
          <xdr:rowOff>133350</xdr:rowOff>
        </xdr:from>
        <xdr:to>
          <xdr:col>34</xdr:col>
          <xdr:colOff>171450</xdr:colOff>
          <xdr:row>5</xdr:row>
          <xdr:rowOff>66675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1</xdr:row>
          <xdr:rowOff>28575</xdr:rowOff>
        </xdr:from>
        <xdr:to>
          <xdr:col>27</xdr:col>
          <xdr:colOff>152400</xdr:colOff>
          <xdr:row>5</xdr:row>
          <xdr:rowOff>38100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2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3</xdr:col>
          <xdr:colOff>476250</xdr:colOff>
          <xdr:row>1</xdr:row>
          <xdr:rowOff>142875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Mortality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</xdr:row>
          <xdr:rowOff>19050</xdr:rowOff>
        </xdr:from>
        <xdr:to>
          <xdr:col>3</xdr:col>
          <xdr:colOff>466725</xdr:colOff>
          <xdr:row>4</xdr:row>
          <xdr:rowOff>133350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600075</xdr:colOff>
      <xdr:row>4</xdr:row>
      <xdr:rowOff>152400</xdr:rowOff>
    </xdr:from>
    <xdr:to>
      <xdr:col>20</xdr:col>
      <xdr:colOff>171450</xdr:colOff>
      <xdr:row>6</xdr:row>
      <xdr:rowOff>19050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30125" y="800100"/>
          <a:ext cx="18669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280147</xdr:colOff>
      <xdr:row>28</xdr:row>
      <xdr:rowOff>89647</xdr:rowOff>
    </xdr:from>
    <xdr:to>
      <xdr:col>13</xdr:col>
      <xdr:colOff>638736</xdr:colOff>
      <xdr:row>46</xdr:row>
      <xdr:rowOff>100852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649941</xdr:colOff>
      <xdr:row>6</xdr:row>
      <xdr:rowOff>78441</xdr:rowOff>
    </xdr:from>
    <xdr:to>
      <xdr:col>20</xdr:col>
      <xdr:colOff>142875</xdr:colOff>
      <xdr:row>8</xdr:row>
      <xdr:rowOff>126066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1075765"/>
          <a:ext cx="3078816" cy="3725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</xdr:row>
      <xdr:rowOff>0</xdr:rowOff>
    </xdr:from>
    <xdr:to>
      <xdr:col>18</xdr:col>
      <xdr:colOff>141216</xdr:colOff>
      <xdr:row>19</xdr:row>
      <xdr:rowOff>134470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0" y="627529"/>
          <a:ext cx="5587275" cy="24877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oleObject" Target="../embeddings/oleObject5.bin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7.emf"/><Relationship Id="rId14" Type="http://schemas.openxmlformats.org/officeDocument/2006/relationships/oleObject" Target="../embeddings/oleObject6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120"/>
  <sheetViews>
    <sheetView showGridLines="0" zoomScale="85" zoomScaleNormal="85" workbookViewId="0">
      <pane ySplit="9" topLeftCell="A10" activePane="bottomLeft" state="frozen"/>
      <selection pane="bottomLeft" activeCell="A3" sqref="A3"/>
    </sheetView>
  </sheetViews>
  <sheetFormatPr baseColWidth="10" defaultColWidth="9.140625" defaultRowHeight="12.75" x14ac:dyDescent="0.2"/>
  <cols>
    <col min="1" max="1" width="6.140625" bestFit="1" customWidth="1"/>
    <col min="2" max="2" width="12.5703125" bestFit="1" customWidth="1"/>
    <col min="3" max="3" width="9.5703125" bestFit="1" customWidth="1"/>
    <col min="4" max="4" width="8.85546875" bestFit="1" customWidth="1"/>
    <col min="5" max="5" width="7.7109375" customWidth="1"/>
    <col min="6" max="6" width="11.5703125" bestFit="1" customWidth="1"/>
    <col min="8" max="8" width="14.7109375" bestFit="1" customWidth="1"/>
    <col min="9" max="9" width="15.140625" bestFit="1" customWidth="1"/>
    <col min="10" max="10" width="12" bestFit="1" customWidth="1"/>
    <col min="11" max="11" width="11.5703125" bestFit="1" customWidth="1"/>
    <col min="14" max="14" width="11.5703125" bestFit="1" customWidth="1"/>
    <col min="15" max="15" width="12.5703125" bestFit="1" customWidth="1"/>
    <col min="16" max="16" width="11.5703125" bestFit="1" customWidth="1"/>
  </cols>
  <sheetData>
    <row r="1" spans="1:16" x14ac:dyDescent="0.2">
      <c r="H1" s="3" t="s">
        <v>4</v>
      </c>
      <c r="I1" s="4">
        <v>50</v>
      </c>
    </row>
    <row r="2" spans="1:16" x14ac:dyDescent="0.2">
      <c r="H2" s="5" t="s">
        <v>17</v>
      </c>
      <c r="I2" s="6">
        <v>5</v>
      </c>
    </row>
    <row r="3" spans="1:16" ht="15" x14ac:dyDescent="0.25">
      <c r="A3" s="88" t="s">
        <v>78</v>
      </c>
      <c r="H3" s="5" t="s">
        <v>16</v>
      </c>
      <c r="I3" s="6">
        <v>5</v>
      </c>
    </row>
    <row r="4" spans="1:16" x14ac:dyDescent="0.2">
      <c r="H4" s="5" t="s">
        <v>5</v>
      </c>
      <c r="I4" s="9">
        <v>0.01</v>
      </c>
    </row>
    <row r="5" spans="1:16" ht="13.5" thickBot="1" x14ac:dyDescent="0.25">
      <c r="H5" s="7" t="s">
        <v>6</v>
      </c>
      <c r="I5" s="10">
        <v>100</v>
      </c>
    </row>
    <row r="6" spans="1:16" x14ac:dyDescent="0.2">
      <c r="L6" s="23"/>
    </row>
    <row r="8" spans="1:16" ht="13.5" thickBot="1" x14ac:dyDescent="0.25">
      <c r="B8" s="22" t="s">
        <v>37</v>
      </c>
      <c r="C8" s="22"/>
      <c r="D8" s="79">
        <f>SUM(D10:D116)</f>
        <v>0</v>
      </c>
    </row>
    <row r="9" spans="1:16" ht="13.5" thickBot="1" x14ac:dyDescent="0.25">
      <c r="A9" s="16" t="s">
        <v>3</v>
      </c>
      <c r="B9" s="19" t="s">
        <v>0</v>
      </c>
      <c r="C9" s="27" t="s">
        <v>64</v>
      </c>
      <c r="D9" s="28" t="s">
        <v>36</v>
      </c>
      <c r="E9" s="17" t="s">
        <v>1</v>
      </c>
      <c r="F9" s="19" t="s">
        <v>2</v>
      </c>
    </row>
    <row r="10" spans="1:16" x14ac:dyDescent="0.2">
      <c r="A10" s="98">
        <v>0</v>
      </c>
      <c r="B10" s="100">
        <v>100000</v>
      </c>
      <c r="C10" s="53">
        <f t="shared" ref="C10:C41" si="0">lx(A10)</f>
        <v>100000</v>
      </c>
      <c r="D10" s="89">
        <f t="shared" ref="D10:D41" si="1">(B10&lt;&gt;C10)*1</f>
        <v>0</v>
      </c>
      <c r="E10" s="105">
        <f t="shared" ref="E10:E41" si="2">dx(A10)</f>
        <v>489</v>
      </c>
      <c r="F10" s="92">
        <f t="shared" ref="F10:F41" si="3">qx(A10)</f>
        <v>4.8900000000000002E-3</v>
      </c>
      <c r="J10" s="18" t="s">
        <v>12</v>
      </c>
      <c r="O10" s="18" t="s">
        <v>14</v>
      </c>
    </row>
    <row r="11" spans="1:16" x14ac:dyDescent="0.2">
      <c r="A11" s="29">
        <f t="shared" ref="A11:A42" si="4">A10+1</f>
        <v>1</v>
      </c>
      <c r="B11" s="96">
        <v>99511</v>
      </c>
      <c r="C11" s="54">
        <f t="shared" si="0"/>
        <v>99511</v>
      </c>
      <c r="D11" s="90">
        <f t="shared" si="1"/>
        <v>0</v>
      </c>
      <c r="E11" s="106">
        <f t="shared" si="2"/>
        <v>38</v>
      </c>
      <c r="F11" s="93">
        <f t="shared" si="3"/>
        <v>3.8186733124981158E-4</v>
      </c>
      <c r="I11" s="2" t="s">
        <v>10</v>
      </c>
      <c r="J11" s="25">
        <f ca="1">I5*J15</f>
        <v>3.2104994716798472</v>
      </c>
      <c r="N11" s="2" t="s">
        <v>15</v>
      </c>
      <c r="O11" s="24">
        <f ca="1">J11/O15</f>
        <v>0.66309390174204563</v>
      </c>
    </row>
    <row r="12" spans="1:16" x14ac:dyDescent="0.2">
      <c r="A12" s="29">
        <f t="shared" si="4"/>
        <v>2</v>
      </c>
      <c r="B12" s="96">
        <v>99473</v>
      </c>
      <c r="C12" s="54">
        <f t="shared" si="0"/>
        <v>99473</v>
      </c>
      <c r="D12" s="90">
        <f t="shared" si="1"/>
        <v>0</v>
      </c>
      <c r="E12" s="106">
        <f t="shared" si="2"/>
        <v>27</v>
      </c>
      <c r="F12" s="93">
        <f t="shared" si="3"/>
        <v>2.7143043841042295E-4</v>
      </c>
      <c r="J12" s="25">
        <f>I5*J16</f>
        <v>3.2104994716798472</v>
      </c>
      <c r="K12" s="25">
        <f>SinglePremiumTA(I1,I3,I4,I5)</f>
        <v>3.2104994716798472</v>
      </c>
      <c r="O12" s="24">
        <f>J12/O16</f>
        <v>0.66309390174204563</v>
      </c>
      <c r="P12" s="24">
        <f>AnnualPremium(K12,I1,I2,I4)</f>
        <v>0.66309390174204563</v>
      </c>
    </row>
    <row r="13" spans="1:16" x14ac:dyDescent="0.2">
      <c r="A13" s="29">
        <f t="shared" si="4"/>
        <v>3</v>
      </c>
      <c r="B13" s="96">
        <v>99446</v>
      </c>
      <c r="C13" s="54">
        <f t="shared" si="0"/>
        <v>99446</v>
      </c>
      <c r="D13" s="90">
        <f t="shared" si="1"/>
        <v>0</v>
      </c>
      <c r="E13" s="106">
        <f t="shared" si="2"/>
        <v>22</v>
      </c>
      <c r="F13" s="93">
        <f t="shared" si="3"/>
        <v>2.2122558976731091E-4</v>
      </c>
      <c r="J13" s="20" t="str">
        <f ca="1">IF(J12=J11,"OK","error")</f>
        <v>OK</v>
      </c>
      <c r="K13" s="20" t="str">
        <f ca="1">IF(K12=J11,"OK","error")</f>
        <v>OK</v>
      </c>
      <c r="O13" s="20" t="str">
        <f ca="1">IF(O12=O11,"OK","error")</f>
        <v>OK</v>
      </c>
      <c r="P13" s="20" t="str">
        <f ca="1">IF(P12=O11,"OK","error")</f>
        <v>OK</v>
      </c>
    </row>
    <row r="14" spans="1:16" x14ac:dyDescent="0.2">
      <c r="A14" s="29">
        <f t="shared" si="4"/>
        <v>4</v>
      </c>
      <c r="B14" s="96">
        <v>99424</v>
      </c>
      <c r="C14" s="54">
        <f t="shared" si="0"/>
        <v>99424</v>
      </c>
      <c r="D14" s="90">
        <f t="shared" si="1"/>
        <v>0</v>
      </c>
      <c r="E14" s="106">
        <f t="shared" si="2"/>
        <v>18</v>
      </c>
      <c r="F14" s="93">
        <f t="shared" si="3"/>
        <v>1.8104280656581912E-4</v>
      </c>
    </row>
    <row r="15" spans="1:16" x14ac:dyDescent="0.2">
      <c r="A15" s="29">
        <f t="shared" si="4"/>
        <v>5</v>
      </c>
      <c r="B15" s="96">
        <v>99406</v>
      </c>
      <c r="C15" s="54">
        <f t="shared" si="0"/>
        <v>99406</v>
      </c>
      <c r="D15" s="90">
        <f t="shared" si="1"/>
        <v>0</v>
      </c>
      <c r="E15" s="106">
        <f t="shared" si="2"/>
        <v>16</v>
      </c>
      <c r="F15" s="93">
        <f t="shared" si="3"/>
        <v>1.6095607910991287E-4</v>
      </c>
      <c r="I15" s="2" t="s">
        <v>9</v>
      </c>
      <c r="J15" s="21">
        <f ca="1">SUM(INDIRECT("K20"&amp;":K"&amp;(20+I3-1)))</f>
        <v>3.2104994716798473E-2</v>
      </c>
      <c r="N15" s="1" t="s">
        <v>41</v>
      </c>
      <c r="O15" s="14">
        <f ca="1">SUM(INDIRECT("P20"&amp;":P"&amp;(20+I2-1)))</f>
        <v>4.8416965730575878</v>
      </c>
    </row>
    <row r="16" spans="1:16" x14ac:dyDescent="0.2">
      <c r="A16" s="29">
        <f t="shared" si="4"/>
        <v>6</v>
      </c>
      <c r="B16" s="96">
        <v>99390</v>
      </c>
      <c r="C16" s="54">
        <f t="shared" si="0"/>
        <v>99390</v>
      </c>
      <c r="D16" s="90">
        <f t="shared" si="1"/>
        <v>0</v>
      </c>
      <c r="E16" s="106">
        <f t="shared" si="2"/>
        <v>14</v>
      </c>
      <c r="F16" s="93">
        <f t="shared" si="3"/>
        <v>1.4085924137237146E-4</v>
      </c>
      <c r="J16" s="103">
        <f>nax(I1,I3,I4)</f>
        <v>3.2104994716798473E-2</v>
      </c>
      <c r="O16" s="14">
        <f>AnnuityFactor(I1,I2,I4)</f>
        <v>4.8416965730575878</v>
      </c>
    </row>
    <row r="17" spans="1:16" x14ac:dyDescent="0.2">
      <c r="A17" s="29">
        <f t="shared" si="4"/>
        <v>7</v>
      </c>
      <c r="B17" s="96">
        <v>99376</v>
      </c>
      <c r="C17" s="54">
        <f t="shared" si="0"/>
        <v>99376</v>
      </c>
      <c r="D17" s="90">
        <f t="shared" si="1"/>
        <v>0</v>
      </c>
      <c r="E17" s="106">
        <f t="shared" si="2"/>
        <v>13</v>
      </c>
      <c r="F17" s="93">
        <f t="shared" si="3"/>
        <v>1.308162936725165E-4</v>
      </c>
      <c r="J17" s="20" t="str">
        <f ca="1">IF(J16=J15,"OK","error")</f>
        <v>OK</v>
      </c>
      <c r="O17" s="20" t="str">
        <f ca="1">IF(O16=O15,"OK","error")</f>
        <v>OK</v>
      </c>
    </row>
    <row r="18" spans="1:16" x14ac:dyDescent="0.2">
      <c r="A18" s="29">
        <f t="shared" si="4"/>
        <v>8</v>
      </c>
      <c r="B18" s="96">
        <v>99363</v>
      </c>
      <c r="C18" s="54">
        <f t="shared" si="0"/>
        <v>99363</v>
      </c>
      <c r="D18" s="90">
        <f t="shared" si="1"/>
        <v>0</v>
      </c>
      <c r="E18" s="106">
        <f t="shared" si="2"/>
        <v>13</v>
      </c>
      <c r="F18" s="93">
        <f t="shared" si="3"/>
        <v>1.3083340881414612E-4</v>
      </c>
    </row>
    <row r="19" spans="1:16" x14ac:dyDescent="0.2">
      <c r="A19" s="29">
        <f t="shared" si="4"/>
        <v>9</v>
      </c>
      <c r="B19" s="96">
        <v>99350</v>
      </c>
      <c r="C19" s="54">
        <f t="shared" si="0"/>
        <v>99350</v>
      </c>
      <c r="D19" s="90">
        <f t="shared" si="1"/>
        <v>0</v>
      </c>
      <c r="E19" s="106">
        <f t="shared" si="2"/>
        <v>12</v>
      </c>
      <c r="F19" s="93">
        <f t="shared" si="3"/>
        <v>1.2078510317060895E-4</v>
      </c>
      <c r="H19" s="18" t="s">
        <v>7</v>
      </c>
      <c r="I19" s="26" t="s">
        <v>42</v>
      </c>
      <c r="J19" s="18" t="s">
        <v>8</v>
      </c>
      <c r="K19" s="18" t="s">
        <v>18</v>
      </c>
      <c r="M19" s="18" t="s">
        <v>7</v>
      </c>
      <c r="N19" s="18" t="s">
        <v>38</v>
      </c>
      <c r="O19" s="18" t="s">
        <v>39</v>
      </c>
      <c r="P19" s="18" t="s">
        <v>40</v>
      </c>
    </row>
    <row r="20" spans="1:16" x14ac:dyDescent="0.2">
      <c r="A20" s="29">
        <f t="shared" si="4"/>
        <v>10</v>
      </c>
      <c r="B20" s="96">
        <v>99338</v>
      </c>
      <c r="C20" s="54">
        <f t="shared" si="0"/>
        <v>99338</v>
      </c>
      <c r="D20" s="90">
        <f t="shared" si="1"/>
        <v>0</v>
      </c>
      <c r="E20" s="106">
        <f t="shared" si="2"/>
        <v>13</v>
      </c>
      <c r="F20" s="93">
        <f t="shared" si="3"/>
        <v>1.3086633513861764E-4</v>
      </c>
      <c r="H20" s="13">
        <v>1</v>
      </c>
      <c r="I20" s="21">
        <f t="shared" ref="I20:I51" si="5">techDF(H20,$I$4)</f>
        <v>0.99009900990099009</v>
      </c>
      <c r="J20" s="21">
        <f t="shared" ref="J20:J51" si="6">n_1qx($I$1,H20-1)</f>
        <v>5.822981366459627E-3</v>
      </c>
      <c r="K20" s="21">
        <f t="shared" ref="K20:K51" si="7">I20*J20</f>
        <v>5.7653280856035912E-3</v>
      </c>
      <c r="M20" s="13">
        <v>0</v>
      </c>
      <c r="N20" s="14">
        <f t="shared" ref="N20:N51" si="8">npx($I$1,M20)</f>
        <v>1</v>
      </c>
      <c r="O20" s="14">
        <f t="shared" ref="O20:O51" si="9">techDF(M20,$I$4)</f>
        <v>1</v>
      </c>
      <c r="P20" s="14">
        <f t="shared" ref="P20:P51" si="10">nEx($I$1,M20,$I$4)</f>
        <v>1</v>
      </c>
    </row>
    <row r="21" spans="1:16" x14ac:dyDescent="0.2">
      <c r="A21" s="29">
        <f t="shared" si="4"/>
        <v>11</v>
      </c>
      <c r="B21" s="96">
        <v>99325</v>
      </c>
      <c r="C21" s="54">
        <f t="shared" si="0"/>
        <v>99325</v>
      </c>
      <c r="D21" s="90">
        <f t="shared" si="1"/>
        <v>0</v>
      </c>
      <c r="E21" s="106">
        <f t="shared" si="2"/>
        <v>13</v>
      </c>
      <c r="F21" s="93">
        <f t="shared" si="3"/>
        <v>1.3088346337780015E-4</v>
      </c>
      <c r="H21" s="12">
        <f t="shared" ref="H21:H52" si="11">H20+1</f>
        <v>2</v>
      </c>
      <c r="I21" s="21">
        <f t="shared" si="5"/>
        <v>0.98029604940692083</v>
      </c>
      <c r="J21" s="21">
        <f t="shared" si="6"/>
        <v>6.2003968253968251E-3</v>
      </c>
      <c r="K21" s="21">
        <f t="shared" si="7"/>
        <v>6.0782245126917208E-3</v>
      </c>
      <c r="M21" s="12">
        <f t="shared" ref="M21:M52" si="12">M20+1</f>
        <v>1</v>
      </c>
      <c r="N21" s="14">
        <f t="shared" si="8"/>
        <v>0.99417701863354035</v>
      </c>
      <c r="O21" s="14">
        <f t="shared" si="9"/>
        <v>0.99009900990099009</v>
      </c>
      <c r="P21" s="14">
        <f t="shared" si="10"/>
        <v>0.9843336818153865</v>
      </c>
    </row>
    <row r="22" spans="1:16" x14ac:dyDescent="0.2">
      <c r="A22" s="29">
        <f t="shared" si="4"/>
        <v>12</v>
      </c>
      <c r="B22" s="96">
        <v>99312</v>
      </c>
      <c r="C22" s="54">
        <f t="shared" si="0"/>
        <v>99312</v>
      </c>
      <c r="D22" s="90">
        <f t="shared" si="1"/>
        <v>0</v>
      </c>
      <c r="E22" s="106">
        <f t="shared" si="2"/>
        <v>16</v>
      </c>
      <c r="F22" s="93">
        <f t="shared" si="3"/>
        <v>1.6110842597067828E-4</v>
      </c>
      <c r="H22" s="12">
        <f t="shared" si="11"/>
        <v>3</v>
      </c>
      <c r="I22" s="21">
        <f t="shared" si="5"/>
        <v>0.97059014792764431</v>
      </c>
      <c r="J22" s="21">
        <f t="shared" si="6"/>
        <v>6.599378881987578E-3</v>
      </c>
      <c r="K22" s="21">
        <f t="shared" si="7"/>
        <v>6.4052921252988953E-3</v>
      </c>
      <c r="M22" s="12">
        <f t="shared" si="12"/>
        <v>2</v>
      </c>
      <c r="N22" s="14">
        <f t="shared" si="8"/>
        <v>0.9879766218081435</v>
      </c>
      <c r="O22" s="14">
        <f t="shared" si="9"/>
        <v>0.98029604940692083</v>
      </c>
      <c r="P22" s="14">
        <f t="shared" si="10"/>
        <v>0.96850957926491854</v>
      </c>
    </row>
    <row r="23" spans="1:16" x14ac:dyDescent="0.2">
      <c r="A23" s="29">
        <f t="shared" si="4"/>
        <v>13</v>
      </c>
      <c r="B23" s="96">
        <v>99296</v>
      </c>
      <c r="C23" s="54">
        <f t="shared" si="0"/>
        <v>99296</v>
      </c>
      <c r="D23" s="90">
        <f t="shared" si="1"/>
        <v>0</v>
      </c>
      <c r="E23" s="106">
        <f t="shared" si="2"/>
        <v>20</v>
      </c>
      <c r="F23" s="93">
        <f t="shared" si="3"/>
        <v>2.014179825974863E-4</v>
      </c>
      <c r="H23" s="12">
        <f t="shared" si="11"/>
        <v>4</v>
      </c>
      <c r="I23" s="21">
        <f t="shared" si="5"/>
        <v>0.96098034448281622</v>
      </c>
      <c r="J23" s="21">
        <f t="shared" si="6"/>
        <v>7.019927536231884E-3</v>
      </c>
      <c r="K23" s="21">
        <f t="shared" si="7"/>
        <v>6.7460123820125232E-3</v>
      </c>
      <c r="M23" s="12">
        <f t="shared" si="12"/>
        <v>3</v>
      </c>
      <c r="N23" s="14">
        <f t="shared" si="8"/>
        <v>0.98137724292615602</v>
      </c>
      <c r="O23" s="14">
        <f t="shared" si="9"/>
        <v>0.97059014792764431</v>
      </c>
      <c r="P23" s="14">
        <f t="shared" si="10"/>
        <v>0.95251508338452151</v>
      </c>
    </row>
    <row r="24" spans="1:16" x14ac:dyDescent="0.2">
      <c r="A24" s="29">
        <f t="shared" si="4"/>
        <v>14</v>
      </c>
      <c r="B24" s="96">
        <v>99276</v>
      </c>
      <c r="C24" s="54">
        <f t="shared" si="0"/>
        <v>99276</v>
      </c>
      <c r="D24" s="90">
        <f t="shared" si="1"/>
        <v>0</v>
      </c>
      <c r="E24" s="106">
        <f t="shared" si="2"/>
        <v>26</v>
      </c>
      <c r="F24" s="93">
        <f t="shared" si="3"/>
        <v>2.6189612796647727E-4</v>
      </c>
      <c r="H24" s="12">
        <f t="shared" si="11"/>
        <v>5</v>
      </c>
      <c r="I24" s="21">
        <f t="shared" si="5"/>
        <v>0.95146568760674866</v>
      </c>
      <c r="J24" s="21">
        <f t="shared" si="6"/>
        <v>7.472826086956522E-3</v>
      </c>
      <c r="K24" s="21">
        <f t="shared" si="7"/>
        <v>7.110137611191736E-3</v>
      </c>
      <c r="M24" s="12">
        <f t="shared" si="12"/>
        <v>4</v>
      </c>
      <c r="N24" s="14">
        <f t="shared" si="8"/>
        <v>0.97435731538992409</v>
      </c>
      <c r="O24" s="14">
        <f t="shared" si="9"/>
        <v>0.96098034448281622</v>
      </c>
      <c r="P24" s="14">
        <f t="shared" si="10"/>
        <v>0.93633822859276128</v>
      </c>
    </row>
    <row r="25" spans="1:16" x14ac:dyDescent="0.2">
      <c r="A25" s="29">
        <f t="shared" si="4"/>
        <v>15</v>
      </c>
      <c r="B25" s="96">
        <v>99250</v>
      </c>
      <c r="C25" s="54">
        <f t="shared" si="0"/>
        <v>99250</v>
      </c>
      <c r="D25" s="90">
        <f t="shared" si="1"/>
        <v>0</v>
      </c>
      <c r="E25" s="106">
        <f t="shared" si="2"/>
        <v>37</v>
      </c>
      <c r="F25" s="93">
        <f t="shared" si="3"/>
        <v>3.7279596977329973E-4</v>
      </c>
      <c r="H25" s="12">
        <f t="shared" si="11"/>
        <v>6</v>
      </c>
      <c r="I25" s="21">
        <f t="shared" si="5"/>
        <v>0.94204523525420658</v>
      </c>
      <c r="J25" s="21">
        <f t="shared" si="6"/>
        <v>7.9365079365079361E-3</v>
      </c>
      <c r="K25" s="21">
        <f t="shared" si="7"/>
        <v>7.4765494861444961E-3</v>
      </c>
      <c r="M25" s="12">
        <f t="shared" si="12"/>
        <v>5</v>
      </c>
      <c r="N25" s="14">
        <f t="shared" si="8"/>
        <v>0.96688448930296755</v>
      </c>
      <c r="O25" s="14">
        <f t="shared" si="9"/>
        <v>0.95146568760674866</v>
      </c>
      <c r="P25" s="14">
        <f t="shared" si="10"/>
        <v>0.919957415450948</v>
      </c>
    </row>
    <row r="26" spans="1:16" x14ac:dyDescent="0.2">
      <c r="A26" s="29">
        <f t="shared" si="4"/>
        <v>16</v>
      </c>
      <c r="B26" s="96">
        <v>99213</v>
      </c>
      <c r="C26" s="54">
        <f t="shared" si="0"/>
        <v>99213</v>
      </c>
      <c r="D26" s="90">
        <f t="shared" si="1"/>
        <v>0</v>
      </c>
      <c r="E26" s="106">
        <f t="shared" si="2"/>
        <v>50</v>
      </c>
      <c r="F26" s="93">
        <f t="shared" si="3"/>
        <v>5.0396621410500641E-4</v>
      </c>
      <c r="H26" s="12">
        <f t="shared" si="11"/>
        <v>7</v>
      </c>
      <c r="I26" s="21">
        <f t="shared" si="5"/>
        <v>0.93271805470713531</v>
      </c>
      <c r="J26" s="21">
        <f t="shared" si="6"/>
        <v>8.389406487232574E-3</v>
      </c>
      <c r="K26" s="21">
        <f t="shared" si="7"/>
        <v>7.8249508989189885E-3</v>
      </c>
      <c r="M26" s="12">
        <f t="shared" si="12"/>
        <v>6</v>
      </c>
      <c r="N26" s="14">
        <f t="shared" si="8"/>
        <v>0.95894798136645965</v>
      </c>
      <c r="O26" s="14">
        <f t="shared" si="9"/>
        <v>0.94204523525420658</v>
      </c>
      <c r="P26" s="14">
        <f t="shared" si="10"/>
        <v>0.90337237670291304</v>
      </c>
    </row>
    <row r="27" spans="1:16" x14ac:dyDescent="0.2">
      <c r="A27" s="29">
        <f t="shared" si="4"/>
        <v>17</v>
      </c>
      <c r="B27" s="96">
        <v>99163</v>
      </c>
      <c r="C27" s="54">
        <f t="shared" si="0"/>
        <v>99163</v>
      </c>
      <c r="D27" s="90">
        <f t="shared" si="1"/>
        <v>0</v>
      </c>
      <c r="E27" s="106">
        <f t="shared" si="2"/>
        <v>66</v>
      </c>
      <c r="F27" s="93">
        <f t="shared" si="3"/>
        <v>6.6557082782892811E-4</v>
      </c>
      <c r="H27" s="12">
        <f t="shared" si="11"/>
        <v>8</v>
      </c>
      <c r="I27" s="21">
        <f t="shared" si="5"/>
        <v>0.92348322248231218</v>
      </c>
      <c r="J27" s="21">
        <f t="shared" si="6"/>
        <v>8.863871635610766E-3</v>
      </c>
      <c r="K27" s="21">
        <f t="shared" si="7"/>
        <v>8.1856367417233941E-3</v>
      </c>
      <c r="M27" s="12">
        <f t="shared" si="12"/>
        <v>7</v>
      </c>
      <c r="N27" s="14">
        <f t="shared" si="8"/>
        <v>0.95055857487922701</v>
      </c>
      <c r="O27" s="14">
        <f t="shared" si="9"/>
        <v>0.93271805470713531</v>
      </c>
      <c r="P27" s="14">
        <f t="shared" si="10"/>
        <v>0.88660314484653946</v>
      </c>
    </row>
    <row r="28" spans="1:16" x14ac:dyDescent="0.2">
      <c r="A28" s="29">
        <f t="shared" si="4"/>
        <v>18</v>
      </c>
      <c r="B28" s="96">
        <v>99097</v>
      </c>
      <c r="C28" s="54">
        <f t="shared" si="0"/>
        <v>99097</v>
      </c>
      <c r="D28" s="90">
        <f t="shared" si="1"/>
        <v>0</v>
      </c>
      <c r="E28" s="106">
        <f t="shared" si="2"/>
        <v>82</v>
      </c>
      <c r="F28" s="93">
        <f t="shared" si="3"/>
        <v>8.2747207281754236E-4</v>
      </c>
      <c r="H28" s="12">
        <f t="shared" si="11"/>
        <v>9</v>
      </c>
      <c r="I28" s="21">
        <f t="shared" si="5"/>
        <v>0.91433982423991311</v>
      </c>
      <c r="J28" s="21">
        <f t="shared" si="6"/>
        <v>9.3706866804692899E-3</v>
      </c>
      <c r="K28" s="21">
        <f t="shared" si="7"/>
        <v>8.567992012427585E-3</v>
      </c>
      <c r="M28" s="12">
        <f t="shared" si="12"/>
        <v>8</v>
      </c>
      <c r="N28" s="14">
        <f t="shared" si="8"/>
        <v>0.94169470324361626</v>
      </c>
      <c r="O28" s="14">
        <f t="shared" si="9"/>
        <v>0.92348322248231218</v>
      </c>
      <c r="P28" s="14">
        <f t="shared" si="10"/>
        <v>0.86963925914593943</v>
      </c>
    </row>
    <row r="29" spans="1:16" x14ac:dyDescent="0.2">
      <c r="A29" s="29">
        <f t="shared" si="4"/>
        <v>19</v>
      </c>
      <c r="B29" s="96">
        <v>99015</v>
      </c>
      <c r="C29" s="54">
        <f t="shared" si="0"/>
        <v>99015</v>
      </c>
      <c r="D29" s="90">
        <f t="shared" si="1"/>
        <v>0</v>
      </c>
      <c r="E29" s="106">
        <f t="shared" si="2"/>
        <v>94</v>
      </c>
      <c r="F29" s="93">
        <f t="shared" si="3"/>
        <v>9.4935110841791643E-4</v>
      </c>
      <c r="H29" s="12">
        <f t="shared" si="11"/>
        <v>10</v>
      </c>
      <c r="I29" s="21">
        <f t="shared" si="5"/>
        <v>0.90528695469298326</v>
      </c>
      <c r="J29" s="21">
        <f t="shared" si="6"/>
        <v>9.9422015182884741E-3</v>
      </c>
      <c r="K29" s="21">
        <f t="shared" si="7"/>
        <v>9.0005453354353275E-3</v>
      </c>
      <c r="M29" s="12">
        <f t="shared" si="12"/>
        <v>9</v>
      </c>
      <c r="N29" s="14">
        <f t="shared" si="8"/>
        <v>0.93232401656314701</v>
      </c>
      <c r="O29" s="14">
        <f t="shared" si="9"/>
        <v>0.91433982423991311</v>
      </c>
      <c r="P29" s="14">
        <f t="shared" si="10"/>
        <v>0.85246097743899762</v>
      </c>
    </row>
    <row r="30" spans="1:16" x14ac:dyDescent="0.2">
      <c r="A30" s="29">
        <f t="shared" si="4"/>
        <v>20</v>
      </c>
      <c r="B30" s="96">
        <v>98921</v>
      </c>
      <c r="C30" s="54">
        <f t="shared" si="0"/>
        <v>98921</v>
      </c>
      <c r="D30" s="90">
        <f t="shared" si="1"/>
        <v>0</v>
      </c>
      <c r="E30" s="106">
        <f t="shared" si="2"/>
        <v>101</v>
      </c>
      <c r="F30" s="93">
        <f t="shared" si="3"/>
        <v>1.0210167709586437E-3</v>
      </c>
      <c r="H30" s="12">
        <f t="shared" si="11"/>
        <v>11</v>
      </c>
      <c r="I30" s="21">
        <f t="shared" si="5"/>
        <v>0.89632371751780526</v>
      </c>
      <c r="J30" s="21">
        <f t="shared" si="6"/>
        <v>1.0567632850241546E-2</v>
      </c>
      <c r="K30" s="21">
        <f t="shared" si="7"/>
        <v>9.4720199616917834E-3</v>
      </c>
      <c r="M30" s="12">
        <f t="shared" si="12"/>
        <v>10</v>
      </c>
      <c r="N30" s="14">
        <f t="shared" si="8"/>
        <v>0.9223818150448585</v>
      </c>
      <c r="O30" s="14">
        <f t="shared" si="9"/>
        <v>0.90528695469298326</v>
      </c>
      <c r="P30" s="14">
        <f t="shared" si="10"/>
        <v>0.83502022440614643</v>
      </c>
    </row>
    <row r="31" spans="1:16" x14ac:dyDescent="0.2">
      <c r="A31" s="29">
        <f t="shared" si="4"/>
        <v>21</v>
      </c>
      <c r="B31" s="96">
        <v>98820</v>
      </c>
      <c r="C31" s="54">
        <f t="shared" si="0"/>
        <v>98820</v>
      </c>
      <c r="D31" s="90">
        <f t="shared" si="1"/>
        <v>0</v>
      </c>
      <c r="E31" s="106">
        <f t="shared" si="2"/>
        <v>104</v>
      </c>
      <c r="F31" s="93">
        <f t="shared" si="3"/>
        <v>1.0524185387573365E-3</v>
      </c>
      <c r="H31" s="12">
        <f t="shared" si="11"/>
        <v>12</v>
      </c>
      <c r="I31" s="21">
        <f t="shared" si="5"/>
        <v>0.88744922526515368</v>
      </c>
      <c r="J31" s="21">
        <f t="shared" si="6"/>
        <v>1.125776397515528E-2</v>
      </c>
      <c r="K31" s="21">
        <f t="shared" si="7"/>
        <v>9.9906939179695096E-3</v>
      </c>
      <c r="M31" s="12">
        <f t="shared" si="12"/>
        <v>11</v>
      </c>
      <c r="N31" s="14">
        <f t="shared" si="8"/>
        <v>0.91181418219461696</v>
      </c>
      <c r="O31" s="14">
        <f t="shared" si="9"/>
        <v>0.89632371751780526</v>
      </c>
      <c r="P31" s="14">
        <f t="shared" si="10"/>
        <v>0.81728067747013644</v>
      </c>
    </row>
    <row r="32" spans="1:16" x14ac:dyDescent="0.2">
      <c r="A32" s="29">
        <f t="shared" si="4"/>
        <v>22</v>
      </c>
      <c r="B32" s="96">
        <v>98716</v>
      </c>
      <c r="C32" s="54">
        <f t="shared" si="0"/>
        <v>98716</v>
      </c>
      <c r="D32" s="90">
        <f t="shared" si="1"/>
        <v>0</v>
      </c>
      <c r="E32" s="106">
        <f t="shared" si="2"/>
        <v>104</v>
      </c>
      <c r="F32" s="93">
        <f t="shared" si="3"/>
        <v>1.0535272904088496E-3</v>
      </c>
      <c r="H32" s="12">
        <f t="shared" si="11"/>
        <v>13</v>
      </c>
      <c r="I32" s="21">
        <f t="shared" si="5"/>
        <v>0.87866259927242929</v>
      </c>
      <c r="J32" s="21">
        <f t="shared" si="6"/>
        <v>1.2023378191856452E-2</v>
      </c>
      <c r="K32" s="21">
        <f t="shared" si="7"/>
        <v>1.0564492734092032E-2</v>
      </c>
      <c r="M32" s="12">
        <f t="shared" si="12"/>
        <v>12</v>
      </c>
      <c r="N32" s="14">
        <f t="shared" si="8"/>
        <v>0.90055641821946175</v>
      </c>
      <c r="O32" s="14">
        <f t="shared" si="9"/>
        <v>0.88744922526515368</v>
      </c>
      <c r="P32" s="14">
        <f t="shared" si="10"/>
        <v>0.79919809565642308</v>
      </c>
    </row>
    <row r="33" spans="1:16" x14ac:dyDescent="0.2">
      <c r="A33" s="29">
        <f t="shared" si="4"/>
        <v>23</v>
      </c>
      <c r="B33" s="96">
        <v>98612</v>
      </c>
      <c r="C33" s="54">
        <f t="shared" si="0"/>
        <v>98612</v>
      </c>
      <c r="D33" s="90">
        <f t="shared" si="1"/>
        <v>0</v>
      </c>
      <c r="E33" s="106">
        <f t="shared" si="2"/>
        <v>103</v>
      </c>
      <c r="F33" s="93">
        <f t="shared" si="3"/>
        <v>1.0444976270636433E-3</v>
      </c>
      <c r="H33" s="12">
        <f t="shared" si="11"/>
        <v>14</v>
      </c>
      <c r="I33" s="21">
        <f t="shared" si="5"/>
        <v>0.86996296957666264</v>
      </c>
      <c r="J33" s="21">
        <f t="shared" si="6"/>
        <v>1.2864475500345066E-2</v>
      </c>
      <c r="K33" s="21">
        <f t="shared" si="7"/>
        <v>1.1191617308326416E-2</v>
      </c>
      <c r="M33" s="12">
        <f t="shared" si="12"/>
        <v>13</v>
      </c>
      <c r="N33" s="14">
        <f t="shared" si="8"/>
        <v>0.88853304002760525</v>
      </c>
      <c r="O33" s="14">
        <f t="shared" si="9"/>
        <v>0.87866259927242929</v>
      </c>
      <c r="P33" s="14">
        <f t="shared" si="10"/>
        <v>0.78072075049008904</v>
      </c>
    </row>
    <row r="34" spans="1:16" x14ac:dyDescent="0.2">
      <c r="A34" s="29">
        <f t="shared" si="4"/>
        <v>24</v>
      </c>
      <c r="B34" s="96">
        <v>98509</v>
      </c>
      <c r="C34" s="54">
        <f t="shared" si="0"/>
        <v>98509</v>
      </c>
      <c r="D34" s="90">
        <f t="shared" si="1"/>
        <v>0</v>
      </c>
      <c r="E34" s="106">
        <f t="shared" si="2"/>
        <v>103</v>
      </c>
      <c r="F34" s="93">
        <f t="shared" si="3"/>
        <v>1.0455897430691611E-3</v>
      </c>
      <c r="H34" s="12">
        <f t="shared" si="11"/>
        <v>15</v>
      </c>
      <c r="I34" s="21">
        <f t="shared" si="5"/>
        <v>0.86134947482837887</v>
      </c>
      <c r="J34" s="21">
        <f t="shared" si="6"/>
        <v>1.3802622498274672E-2</v>
      </c>
      <c r="K34" s="21">
        <f t="shared" si="7"/>
        <v>1.1888881640143255E-2</v>
      </c>
      <c r="M34" s="12">
        <f t="shared" si="12"/>
        <v>14</v>
      </c>
      <c r="N34" s="14">
        <f t="shared" si="8"/>
        <v>0.87566856452726016</v>
      </c>
      <c r="O34" s="14">
        <f t="shared" si="9"/>
        <v>0.86996296957666264</v>
      </c>
      <c r="P34" s="14">
        <f t="shared" si="10"/>
        <v>0.76179922476106865</v>
      </c>
    </row>
    <row r="35" spans="1:16" x14ac:dyDescent="0.2">
      <c r="A35" s="29">
        <f t="shared" si="4"/>
        <v>25</v>
      </c>
      <c r="B35" s="96">
        <v>98406</v>
      </c>
      <c r="C35" s="54">
        <f t="shared" si="0"/>
        <v>98406</v>
      </c>
      <c r="D35" s="90">
        <f t="shared" si="1"/>
        <v>0</v>
      </c>
      <c r="E35" s="106">
        <f t="shared" si="2"/>
        <v>103</v>
      </c>
      <c r="F35" s="93">
        <f t="shared" si="3"/>
        <v>1.0466841452756947E-3</v>
      </c>
      <c r="H35" s="12">
        <f t="shared" si="11"/>
        <v>16</v>
      </c>
      <c r="I35" s="21">
        <f t="shared" si="5"/>
        <v>0.8528212622063156</v>
      </c>
      <c r="J35" s="21">
        <f t="shared" si="6"/>
        <v>1.4816252587991718E-2</v>
      </c>
      <c r="K35" s="21">
        <f t="shared" si="7"/>
        <v>1.2635615233258688E-2</v>
      </c>
      <c r="M35" s="12">
        <f t="shared" si="12"/>
        <v>15</v>
      </c>
      <c r="N35" s="14">
        <f t="shared" si="8"/>
        <v>0.86186594202898548</v>
      </c>
      <c r="O35" s="14">
        <f t="shared" si="9"/>
        <v>0.86134947482837887</v>
      </c>
      <c r="P35" s="14">
        <f t="shared" si="10"/>
        <v>0.74236777653913266</v>
      </c>
    </row>
    <row r="36" spans="1:16" x14ac:dyDescent="0.2">
      <c r="A36" s="29">
        <f t="shared" si="4"/>
        <v>26</v>
      </c>
      <c r="B36" s="96">
        <v>98303</v>
      </c>
      <c r="C36" s="54">
        <f t="shared" si="0"/>
        <v>98303</v>
      </c>
      <c r="D36" s="90">
        <f t="shared" si="1"/>
        <v>0</v>
      </c>
      <c r="E36" s="106">
        <f t="shared" si="2"/>
        <v>105</v>
      </c>
      <c r="F36" s="93">
        <f t="shared" si="3"/>
        <v>1.0681260999155671E-3</v>
      </c>
      <c r="H36" s="12">
        <f t="shared" si="11"/>
        <v>17</v>
      </c>
      <c r="I36" s="21">
        <f t="shared" si="5"/>
        <v>0.8443774873329859</v>
      </c>
      <c r="J36" s="21">
        <f t="shared" si="6"/>
        <v>1.5894582470669428E-2</v>
      </c>
      <c r="K36" s="21">
        <f t="shared" si="7"/>
        <v>1.3421027608790775E-2</v>
      </c>
      <c r="M36" s="12">
        <f t="shared" si="12"/>
        <v>16</v>
      </c>
      <c r="N36" s="14">
        <f t="shared" si="8"/>
        <v>0.84704968944099379</v>
      </c>
      <c r="O36" s="14">
        <f t="shared" si="9"/>
        <v>0.8528212622063156</v>
      </c>
      <c r="P36" s="14">
        <f t="shared" si="10"/>
        <v>0.72238198530053599</v>
      </c>
    </row>
    <row r="37" spans="1:16" x14ac:dyDescent="0.2">
      <c r="A37" s="29">
        <f t="shared" si="4"/>
        <v>27</v>
      </c>
      <c r="B37" s="96">
        <v>98198</v>
      </c>
      <c r="C37" s="54">
        <f t="shared" si="0"/>
        <v>98198</v>
      </c>
      <c r="D37" s="90">
        <f t="shared" si="1"/>
        <v>0</v>
      </c>
      <c r="E37" s="106">
        <f t="shared" si="2"/>
        <v>107</v>
      </c>
      <c r="F37" s="93">
        <f t="shared" si="3"/>
        <v>1.0896352267866962E-3</v>
      </c>
      <c r="H37" s="12">
        <f t="shared" si="11"/>
        <v>18</v>
      </c>
      <c r="I37" s="21">
        <f t="shared" si="5"/>
        <v>0.83601731419107506</v>
      </c>
      <c r="J37" s="21">
        <f t="shared" si="6"/>
        <v>1.7005262249827468E-2</v>
      </c>
      <c r="K37" s="21">
        <f t="shared" si="7"/>
        <v>1.4216693673215638E-2</v>
      </c>
      <c r="M37" s="12">
        <f t="shared" si="12"/>
        <v>17</v>
      </c>
      <c r="N37" s="14">
        <f t="shared" si="8"/>
        <v>0.83115510697032435</v>
      </c>
      <c r="O37" s="14">
        <f t="shared" si="9"/>
        <v>0.8443774873329859</v>
      </c>
      <c r="P37" s="14">
        <f t="shared" si="10"/>
        <v>0.70180866080758164</v>
      </c>
    </row>
    <row r="38" spans="1:16" x14ac:dyDescent="0.2">
      <c r="A38" s="29">
        <f t="shared" si="4"/>
        <v>28</v>
      </c>
      <c r="B38" s="96">
        <v>98091</v>
      </c>
      <c r="C38" s="54">
        <f t="shared" si="0"/>
        <v>98091</v>
      </c>
      <c r="D38" s="90">
        <f t="shared" si="1"/>
        <v>0</v>
      </c>
      <c r="E38" s="106">
        <f t="shared" si="2"/>
        <v>109</v>
      </c>
      <c r="F38" s="93">
        <f t="shared" si="3"/>
        <v>1.1112130572631536E-3</v>
      </c>
      <c r="H38" s="12">
        <f t="shared" si="11"/>
        <v>19</v>
      </c>
      <c r="I38" s="21">
        <f t="shared" si="5"/>
        <v>0.82773991504066846</v>
      </c>
      <c r="J38" s="21">
        <f t="shared" si="6"/>
        <v>1.8169858523119392E-2</v>
      </c>
      <c r="K38" s="21">
        <f t="shared" si="7"/>
        <v>1.5039917150227811E-2</v>
      </c>
      <c r="M38" s="12">
        <f t="shared" si="12"/>
        <v>18</v>
      </c>
      <c r="N38" s="14">
        <f t="shared" si="8"/>
        <v>0.8141498447204969</v>
      </c>
      <c r="O38" s="14">
        <f t="shared" si="9"/>
        <v>0.83601731419107506</v>
      </c>
      <c r="P38" s="14">
        <f t="shared" si="10"/>
        <v>0.68064336653231061</v>
      </c>
    </row>
    <row r="39" spans="1:16" x14ac:dyDescent="0.2">
      <c r="A39" s="29">
        <f t="shared" si="4"/>
        <v>29</v>
      </c>
      <c r="B39" s="96">
        <v>97982</v>
      </c>
      <c r="C39" s="54">
        <f t="shared" si="0"/>
        <v>97982</v>
      </c>
      <c r="D39" s="90">
        <f t="shared" si="1"/>
        <v>0</v>
      </c>
      <c r="E39" s="106">
        <f t="shared" si="2"/>
        <v>112</v>
      </c>
      <c r="F39" s="93">
        <f t="shared" si="3"/>
        <v>1.1430670939560328E-3</v>
      </c>
      <c r="H39" s="12">
        <f t="shared" si="11"/>
        <v>20</v>
      </c>
      <c r="I39" s="21">
        <f t="shared" si="5"/>
        <v>0.81954447033729538</v>
      </c>
      <c r="J39" s="21">
        <f t="shared" si="6"/>
        <v>1.9377587991718428E-2</v>
      </c>
      <c r="K39" s="21">
        <f t="shared" si="7"/>
        <v>1.5880795087087216E-2</v>
      </c>
      <c r="M39" s="12">
        <f t="shared" si="12"/>
        <v>19</v>
      </c>
      <c r="N39" s="14">
        <f t="shared" si="8"/>
        <v>0.79597998619737753</v>
      </c>
      <c r="O39" s="14">
        <f t="shared" si="9"/>
        <v>0.82773991504066846</v>
      </c>
      <c r="P39" s="14">
        <f t="shared" si="10"/>
        <v>0.6588644061490897</v>
      </c>
    </row>
    <row r="40" spans="1:16" x14ac:dyDescent="0.2">
      <c r="A40" s="29">
        <f t="shared" si="4"/>
        <v>30</v>
      </c>
      <c r="B40" s="96">
        <v>97870</v>
      </c>
      <c r="C40" s="54">
        <f t="shared" si="0"/>
        <v>97870</v>
      </c>
      <c r="D40" s="90">
        <f t="shared" si="1"/>
        <v>0</v>
      </c>
      <c r="E40" s="106">
        <f t="shared" si="2"/>
        <v>114</v>
      </c>
      <c r="F40" s="93">
        <f t="shared" si="3"/>
        <v>1.1648104628588945E-3</v>
      </c>
      <c r="H40" s="12">
        <f t="shared" si="11"/>
        <v>21</v>
      </c>
      <c r="I40" s="21">
        <f t="shared" si="5"/>
        <v>0.81143016865078754</v>
      </c>
      <c r="J40" s="21">
        <f t="shared" si="6"/>
        <v>2.0639233954451344E-2</v>
      </c>
      <c r="K40" s="21">
        <f t="shared" si="7"/>
        <v>1.6747297088483513E-2</v>
      </c>
      <c r="M40" s="12">
        <f t="shared" si="12"/>
        <v>20</v>
      </c>
      <c r="N40" s="14">
        <f t="shared" si="8"/>
        <v>0.77660239820565913</v>
      </c>
      <c r="O40" s="14">
        <f t="shared" si="9"/>
        <v>0.81954447033729538</v>
      </c>
      <c r="P40" s="14">
        <f t="shared" si="10"/>
        <v>0.63646020110013024</v>
      </c>
    </row>
    <row r="41" spans="1:16" x14ac:dyDescent="0.2">
      <c r="A41" s="29">
        <f t="shared" si="4"/>
        <v>31</v>
      </c>
      <c r="B41" s="96">
        <v>97756</v>
      </c>
      <c r="C41" s="54">
        <f t="shared" si="0"/>
        <v>97756</v>
      </c>
      <c r="D41" s="90">
        <f t="shared" si="1"/>
        <v>0</v>
      </c>
      <c r="E41" s="106">
        <f t="shared" si="2"/>
        <v>117</v>
      </c>
      <c r="F41" s="93">
        <f t="shared" si="3"/>
        <v>1.1968574818936946E-3</v>
      </c>
      <c r="H41" s="12">
        <f t="shared" si="11"/>
        <v>22</v>
      </c>
      <c r="I41" s="21">
        <f t="shared" si="5"/>
        <v>0.80339620658493816</v>
      </c>
      <c r="J41" s="21">
        <f t="shared" si="6"/>
        <v>2.1944013112491372E-2</v>
      </c>
      <c r="K41" s="21">
        <f t="shared" si="7"/>
        <v>1.7629736891825711E-2</v>
      </c>
      <c r="M41" s="12">
        <f t="shared" si="12"/>
        <v>21</v>
      </c>
      <c r="N41" s="14">
        <f t="shared" si="8"/>
        <v>0.75596316425120769</v>
      </c>
      <c r="O41" s="14">
        <f t="shared" si="9"/>
        <v>0.81143016865078754</v>
      </c>
      <c r="P41" s="14">
        <f t="shared" si="10"/>
        <v>0.61341131786214043</v>
      </c>
    </row>
    <row r="42" spans="1:16" x14ac:dyDescent="0.2">
      <c r="A42" s="29">
        <f t="shared" si="4"/>
        <v>32</v>
      </c>
      <c r="B42" s="96">
        <v>97639</v>
      </c>
      <c r="C42" s="54">
        <f t="shared" ref="C42:C73" si="13">lx(A42)</f>
        <v>97639</v>
      </c>
      <c r="D42" s="90">
        <f t="shared" ref="D42:D73" si="14">(B42&lt;&gt;C42)*1</f>
        <v>0</v>
      </c>
      <c r="E42" s="106">
        <f t="shared" ref="E42:E73" si="15">dx(A42)</f>
        <v>122</v>
      </c>
      <c r="F42" s="93">
        <f t="shared" ref="F42:F73" si="16">qx(A42)</f>
        <v>1.2495007118057335E-3</v>
      </c>
      <c r="H42" s="12">
        <f t="shared" si="11"/>
        <v>23</v>
      </c>
      <c r="I42" s="21">
        <f t="shared" si="5"/>
        <v>0.79544178869795856</v>
      </c>
      <c r="J42" s="21">
        <f t="shared" si="6"/>
        <v>2.32487922705314E-2</v>
      </c>
      <c r="K42" s="21">
        <f t="shared" si="7"/>
        <v>1.849306090873877E-2</v>
      </c>
      <c r="M42" s="12">
        <f t="shared" si="12"/>
        <v>22</v>
      </c>
      <c r="N42" s="14">
        <f t="shared" si="8"/>
        <v>0.73401915113871641</v>
      </c>
      <c r="O42" s="14">
        <f t="shared" si="9"/>
        <v>0.80339620658493816</v>
      </c>
      <c r="P42" s="14">
        <f t="shared" si="10"/>
        <v>0.58970820158554116</v>
      </c>
    </row>
    <row r="43" spans="1:16" x14ac:dyDescent="0.2">
      <c r="A43" s="29">
        <f t="shared" ref="A43:A74" si="17">A42+1</f>
        <v>33</v>
      </c>
      <c r="B43" s="96">
        <v>97517</v>
      </c>
      <c r="C43" s="54">
        <f t="shared" si="13"/>
        <v>97517</v>
      </c>
      <c r="D43" s="90">
        <f t="shared" si="14"/>
        <v>0</v>
      </c>
      <c r="E43" s="106">
        <f t="shared" si="15"/>
        <v>129</v>
      </c>
      <c r="F43" s="93">
        <f t="shared" si="16"/>
        <v>1.3228462729575356E-3</v>
      </c>
      <c r="H43" s="12">
        <f t="shared" si="11"/>
        <v>24</v>
      </c>
      <c r="I43" s="21">
        <f t="shared" si="5"/>
        <v>0.78756612742372134</v>
      </c>
      <c r="J43" s="21">
        <f t="shared" si="6"/>
        <v>2.4553571428571428E-2</v>
      </c>
      <c r="K43" s="21">
        <f t="shared" si="7"/>
        <v>1.9337561164421729E-2</v>
      </c>
      <c r="M43" s="12">
        <f t="shared" si="12"/>
        <v>23</v>
      </c>
      <c r="N43" s="14">
        <f t="shared" si="8"/>
        <v>0.71077035886818496</v>
      </c>
      <c r="O43" s="14">
        <f t="shared" si="9"/>
        <v>0.79544178869795856</v>
      </c>
      <c r="P43" s="14">
        <f t="shared" si="10"/>
        <v>0.56537644561159894</v>
      </c>
    </row>
    <row r="44" spans="1:16" x14ac:dyDescent="0.2">
      <c r="A44" s="29">
        <f t="shared" si="17"/>
        <v>34</v>
      </c>
      <c r="B44" s="96">
        <v>97388</v>
      </c>
      <c r="C44" s="54">
        <f t="shared" si="13"/>
        <v>97388</v>
      </c>
      <c r="D44" s="90">
        <f t="shared" si="14"/>
        <v>0</v>
      </c>
      <c r="E44" s="106">
        <f t="shared" si="15"/>
        <v>139</v>
      </c>
      <c r="F44" s="93">
        <f t="shared" si="16"/>
        <v>1.427280568447858E-3</v>
      </c>
      <c r="H44" s="12">
        <f t="shared" si="11"/>
        <v>25</v>
      </c>
      <c r="I44" s="21">
        <f t="shared" si="5"/>
        <v>0.77976844299378356</v>
      </c>
      <c r="J44" s="21">
        <f t="shared" si="6"/>
        <v>2.5858350586611456E-2</v>
      </c>
      <c r="K44" s="21">
        <f t="shared" si="7"/>
        <v>2.0163525775309405E-2</v>
      </c>
      <c r="M44" s="12">
        <f t="shared" si="12"/>
        <v>24</v>
      </c>
      <c r="N44" s="14">
        <f t="shared" si="8"/>
        <v>0.68621678743961356</v>
      </c>
      <c r="O44" s="14">
        <f t="shared" si="9"/>
        <v>0.78756612742372134</v>
      </c>
      <c r="P44" s="14">
        <f t="shared" si="10"/>
        <v>0.54044109785696337</v>
      </c>
    </row>
    <row r="45" spans="1:16" x14ac:dyDescent="0.2">
      <c r="A45" s="29">
        <f t="shared" si="17"/>
        <v>35</v>
      </c>
      <c r="B45" s="96">
        <v>97249</v>
      </c>
      <c r="C45" s="54">
        <f t="shared" si="13"/>
        <v>97249</v>
      </c>
      <c r="D45" s="90">
        <f t="shared" si="14"/>
        <v>0</v>
      </c>
      <c r="E45" s="106">
        <f t="shared" si="15"/>
        <v>149</v>
      </c>
      <c r="F45" s="93">
        <f t="shared" si="16"/>
        <v>1.5321494308424765E-3</v>
      </c>
      <c r="H45" s="12">
        <f t="shared" si="11"/>
        <v>26</v>
      </c>
      <c r="I45" s="21">
        <f t="shared" si="5"/>
        <v>0.77204796336018167</v>
      </c>
      <c r="J45" s="21">
        <f t="shared" si="6"/>
        <v>2.7184696342305036E-2</v>
      </c>
      <c r="K45" s="21">
        <f t="shared" si="7"/>
        <v>2.0987889445641582E-2</v>
      </c>
      <c r="M45" s="12">
        <f t="shared" si="12"/>
        <v>25</v>
      </c>
      <c r="N45" s="14">
        <f t="shared" si="8"/>
        <v>0.66035843685300211</v>
      </c>
      <c r="O45" s="14">
        <f t="shared" si="9"/>
        <v>0.77976844299378356</v>
      </c>
      <c r="P45" s="14">
        <f t="shared" si="10"/>
        <v>0.51492667012267423</v>
      </c>
    </row>
    <row r="46" spans="1:16" x14ac:dyDescent="0.2">
      <c r="A46" s="29">
        <f t="shared" si="17"/>
        <v>36</v>
      </c>
      <c r="B46" s="96">
        <v>97100</v>
      </c>
      <c r="C46" s="54">
        <f t="shared" si="13"/>
        <v>97100</v>
      </c>
      <c r="D46" s="90">
        <f t="shared" si="14"/>
        <v>0</v>
      </c>
      <c r="E46" s="106">
        <f t="shared" si="15"/>
        <v>161</v>
      </c>
      <c r="F46" s="93">
        <f t="shared" si="16"/>
        <v>1.6580844490216272E-3</v>
      </c>
      <c r="H46" s="12">
        <f t="shared" si="11"/>
        <v>27</v>
      </c>
      <c r="I46" s="21">
        <f t="shared" si="5"/>
        <v>0.76440392411899172</v>
      </c>
      <c r="J46" s="21">
        <f t="shared" si="6"/>
        <v>2.8532608695652172E-2</v>
      </c>
      <c r="K46" s="21">
        <f t="shared" si="7"/>
        <v>2.1810438052308187E-2</v>
      </c>
      <c r="M46" s="12">
        <f t="shared" si="12"/>
        <v>26</v>
      </c>
      <c r="N46" s="14">
        <f t="shared" si="8"/>
        <v>0.63317374051069708</v>
      </c>
      <c r="O46" s="14">
        <f t="shared" si="9"/>
        <v>0.77204796336018167</v>
      </c>
      <c r="P46" s="14">
        <f t="shared" si="10"/>
        <v>0.48884049681443181</v>
      </c>
    </row>
    <row r="47" spans="1:16" x14ac:dyDescent="0.2">
      <c r="A47" s="29">
        <f t="shared" si="17"/>
        <v>37</v>
      </c>
      <c r="B47" s="96">
        <v>96939</v>
      </c>
      <c r="C47" s="54">
        <f t="shared" si="13"/>
        <v>96939</v>
      </c>
      <c r="D47" s="90">
        <f t="shared" si="14"/>
        <v>0</v>
      </c>
      <c r="E47" s="106">
        <f t="shared" si="15"/>
        <v>174</v>
      </c>
      <c r="F47" s="93">
        <f t="shared" si="16"/>
        <v>1.7949432117104571E-3</v>
      </c>
      <c r="H47" s="12">
        <f t="shared" si="11"/>
        <v>28</v>
      </c>
      <c r="I47" s="21">
        <f t="shared" si="5"/>
        <v>0.75683556843464528</v>
      </c>
      <c r="J47" s="21">
        <f t="shared" si="6"/>
        <v>2.9858954451345756E-2</v>
      </c>
      <c r="K47" s="21">
        <f t="shared" si="7"/>
        <v>2.2598318765048447E-2</v>
      </c>
      <c r="M47" s="12">
        <f t="shared" si="12"/>
        <v>27</v>
      </c>
      <c r="N47" s="14">
        <f t="shared" si="8"/>
        <v>0.60464113181504486</v>
      </c>
      <c r="O47" s="14">
        <f t="shared" si="9"/>
        <v>0.76440392411899172</v>
      </c>
      <c r="P47" s="14">
        <f t="shared" si="10"/>
        <v>0.4621900538431688</v>
      </c>
    </row>
    <row r="48" spans="1:16" x14ac:dyDescent="0.2">
      <c r="A48" s="29">
        <f t="shared" si="17"/>
        <v>38</v>
      </c>
      <c r="B48" s="96">
        <v>96765</v>
      </c>
      <c r="C48" s="54">
        <f t="shared" si="13"/>
        <v>96765</v>
      </c>
      <c r="D48" s="90">
        <f t="shared" si="14"/>
        <v>0</v>
      </c>
      <c r="E48" s="106">
        <f t="shared" si="15"/>
        <v>189</v>
      </c>
      <c r="F48" s="93">
        <f t="shared" si="16"/>
        <v>1.9531855526274998E-3</v>
      </c>
      <c r="H48" s="12">
        <f t="shared" si="11"/>
        <v>29</v>
      </c>
      <c r="I48" s="21">
        <f t="shared" si="5"/>
        <v>0.74934214696499535</v>
      </c>
      <c r="J48" s="21">
        <f t="shared" si="6"/>
        <v>3.1185300207039336E-2</v>
      </c>
      <c r="K48" s="21">
        <f t="shared" si="7"/>
        <v>2.3368459810890769E-2</v>
      </c>
      <c r="M48" s="12">
        <f t="shared" si="12"/>
        <v>28</v>
      </c>
      <c r="N48" s="14">
        <f t="shared" si="8"/>
        <v>0.57478217736369908</v>
      </c>
      <c r="O48" s="14">
        <f t="shared" si="9"/>
        <v>0.75683556843464528</v>
      </c>
      <c r="P48" s="14">
        <f t="shared" si="10"/>
        <v>0.43501559593115829</v>
      </c>
    </row>
    <row r="49" spans="1:16" x14ac:dyDescent="0.2">
      <c r="A49" s="29">
        <f t="shared" si="17"/>
        <v>39</v>
      </c>
      <c r="B49" s="96">
        <v>96576</v>
      </c>
      <c r="C49" s="54">
        <f t="shared" si="13"/>
        <v>96576</v>
      </c>
      <c r="D49" s="90">
        <f t="shared" si="14"/>
        <v>0</v>
      </c>
      <c r="E49" s="106">
        <f t="shared" si="15"/>
        <v>207</v>
      </c>
      <c r="F49" s="93">
        <f t="shared" si="16"/>
        <v>2.143389662027833E-3</v>
      </c>
      <c r="H49" s="12">
        <f t="shared" si="11"/>
        <v>30</v>
      </c>
      <c r="I49" s="21">
        <f t="shared" si="5"/>
        <v>0.74192291778712405</v>
      </c>
      <c r="J49" s="21">
        <f t="shared" si="6"/>
        <v>3.2576345755693584E-2</v>
      </c>
      <c r="K49" s="21">
        <f t="shared" si="7"/>
        <v>2.4169137493906378E-2</v>
      </c>
      <c r="M49" s="12">
        <f t="shared" si="12"/>
        <v>29</v>
      </c>
      <c r="N49" s="14">
        <f t="shared" si="8"/>
        <v>0.54359687715665972</v>
      </c>
      <c r="O49" s="14">
        <f t="shared" si="9"/>
        <v>0.74934214696499535</v>
      </c>
      <c r="P49" s="14">
        <f t="shared" si="10"/>
        <v>0.40734005101203824</v>
      </c>
    </row>
    <row r="50" spans="1:16" x14ac:dyDescent="0.2">
      <c r="A50" s="29">
        <f t="shared" si="17"/>
        <v>40</v>
      </c>
      <c r="B50" s="96">
        <v>96369</v>
      </c>
      <c r="C50" s="54">
        <f t="shared" si="13"/>
        <v>96369</v>
      </c>
      <c r="D50" s="90">
        <f t="shared" si="14"/>
        <v>0</v>
      </c>
      <c r="E50" s="106">
        <f t="shared" si="15"/>
        <v>228</v>
      </c>
      <c r="F50" s="93">
        <f t="shared" si="16"/>
        <v>2.3659060486255954E-3</v>
      </c>
      <c r="H50" s="12">
        <f t="shared" si="11"/>
        <v>31</v>
      </c>
      <c r="I50" s="21">
        <f t="shared" si="5"/>
        <v>0.73457714632388516</v>
      </c>
      <c r="J50" s="21">
        <f t="shared" si="6"/>
        <v>3.4032091097308488E-2</v>
      </c>
      <c r="K50" s="21">
        <f t="shared" si="7"/>
        <v>2.4999196361695366E-2</v>
      </c>
      <c r="M50" s="12">
        <f t="shared" si="12"/>
        <v>30</v>
      </c>
      <c r="N50" s="14">
        <f t="shared" si="8"/>
        <v>0.51102053140096615</v>
      </c>
      <c r="O50" s="14">
        <f t="shared" si="9"/>
        <v>0.74192291778712405</v>
      </c>
      <c r="P50" s="14">
        <f t="shared" si="10"/>
        <v>0.37913784370613146</v>
      </c>
    </row>
    <row r="51" spans="1:16" x14ac:dyDescent="0.2">
      <c r="A51" s="29">
        <f t="shared" si="17"/>
        <v>41</v>
      </c>
      <c r="B51" s="96">
        <v>96141</v>
      </c>
      <c r="C51" s="54">
        <f t="shared" si="13"/>
        <v>96141</v>
      </c>
      <c r="D51" s="90">
        <f t="shared" si="14"/>
        <v>0</v>
      </c>
      <c r="E51" s="106">
        <f t="shared" si="15"/>
        <v>254</v>
      </c>
      <c r="F51" s="93">
        <f t="shared" si="16"/>
        <v>2.6419529649161127E-3</v>
      </c>
      <c r="H51" s="12">
        <f t="shared" si="11"/>
        <v>32</v>
      </c>
      <c r="I51" s="21">
        <f t="shared" si="5"/>
        <v>0.72730410527117351</v>
      </c>
      <c r="J51" s="21">
        <f t="shared" si="6"/>
        <v>3.5455486542443064E-2</v>
      </c>
      <c r="K51" s="21">
        <f t="shared" si="7"/>
        <v>2.5786920916705685E-2</v>
      </c>
      <c r="M51" s="12">
        <f t="shared" si="12"/>
        <v>31</v>
      </c>
      <c r="N51" s="14">
        <f t="shared" si="8"/>
        <v>0.47698844030365767</v>
      </c>
      <c r="O51" s="14">
        <f t="shared" si="9"/>
        <v>0.73457714632388516</v>
      </c>
      <c r="P51" s="14">
        <f t="shared" si="10"/>
        <v>0.35038480730774169</v>
      </c>
    </row>
    <row r="52" spans="1:16" x14ac:dyDescent="0.2">
      <c r="A52" s="29">
        <f t="shared" si="17"/>
        <v>42</v>
      </c>
      <c r="B52" s="96">
        <v>95887</v>
      </c>
      <c r="C52" s="54">
        <f t="shared" si="13"/>
        <v>95887</v>
      </c>
      <c r="D52" s="90">
        <f t="shared" si="14"/>
        <v>0</v>
      </c>
      <c r="E52" s="106">
        <f t="shared" si="15"/>
        <v>281</v>
      </c>
      <c r="F52" s="93">
        <f t="shared" si="16"/>
        <v>2.9305328146672647E-3</v>
      </c>
      <c r="H52" s="12">
        <f t="shared" si="11"/>
        <v>33</v>
      </c>
      <c r="I52" s="21">
        <f t="shared" ref="I52:I83" si="18">techDF(H52,$I$4)</f>
        <v>0.72010307452591438</v>
      </c>
      <c r="J52" s="21">
        <f t="shared" ref="J52:J83" si="19">n_1qx($I$1,H52-1)</f>
        <v>3.6663216011042096E-2</v>
      </c>
      <c r="K52" s="21">
        <f t="shared" ref="K52:K83" si="20">I52*J52</f>
        <v>2.6401294571559143E-2</v>
      </c>
      <c r="M52" s="12">
        <f t="shared" si="12"/>
        <v>32</v>
      </c>
      <c r="N52" s="14">
        <f t="shared" ref="N52:N83" si="21">npx($I$1,M52)</f>
        <v>0.44153295376121465</v>
      </c>
      <c r="O52" s="14">
        <f t="shared" ref="O52:O83" si="22">techDF(M52,$I$4)</f>
        <v>0.72730410527117351</v>
      </c>
      <c r="P52" s="14">
        <f t="shared" ref="P52:P83" si="23">nEx($I$1,M52,$I$4)</f>
        <v>0.32112872988303864</v>
      </c>
    </row>
    <row r="53" spans="1:16" x14ac:dyDescent="0.2">
      <c r="A53" s="29">
        <f t="shared" si="17"/>
        <v>43</v>
      </c>
      <c r="B53" s="96">
        <v>95606</v>
      </c>
      <c r="C53" s="54">
        <f t="shared" si="13"/>
        <v>95606</v>
      </c>
      <c r="D53" s="90">
        <f t="shared" si="14"/>
        <v>0</v>
      </c>
      <c r="E53" s="107">
        <f t="shared" si="15"/>
        <v>311</v>
      </c>
      <c r="F53" s="93">
        <f t="shared" si="16"/>
        <v>3.2529339162814049E-3</v>
      </c>
      <c r="H53" s="12">
        <f t="shared" ref="H53:H84" si="24">H52+1</f>
        <v>34</v>
      </c>
      <c r="I53" s="21">
        <f t="shared" si="18"/>
        <v>0.71297334111476673</v>
      </c>
      <c r="J53" s="21">
        <f t="shared" si="19"/>
        <v>3.74611801242236E-2</v>
      </c>
      <c r="K53" s="21">
        <f t="shared" si="20"/>
        <v>2.6708822755269791E-2</v>
      </c>
      <c r="M53" s="12">
        <f t="shared" ref="M53:M84" si="25">M52+1</f>
        <v>33</v>
      </c>
      <c r="N53" s="14">
        <f t="shared" si="21"/>
        <v>0.40486973775017254</v>
      </c>
      <c r="O53" s="14">
        <f t="shared" si="22"/>
        <v>0.72010307452591438</v>
      </c>
      <c r="P53" s="14">
        <f t="shared" si="23"/>
        <v>0.29154794293639991</v>
      </c>
    </row>
    <row r="54" spans="1:16" x14ac:dyDescent="0.2">
      <c r="A54" s="29">
        <f t="shared" si="17"/>
        <v>44</v>
      </c>
      <c r="B54" s="96">
        <v>95295</v>
      </c>
      <c r="C54" s="54">
        <f t="shared" si="13"/>
        <v>95295</v>
      </c>
      <c r="D54" s="90">
        <f t="shared" si="14"/>
        <v>0</v>
      </c>
      <c r="E54" s="107">
        <f t="shared" si="15"/>
        <v>343</v>
      </c>
      <c r="F54" s="93">
        <f t="shared" si="16"/>
        <v>3.5993493887402279E-3</v>
      </c>
      <c r="H54" s="12">
        <f t="shared" si="24"/>
        <v>35</v>
      </c>
      <c r="I54" s="21">
        <f t="shared" si="18"/>
        <v>0.70591419912353137</v>
      </c>
      <c r="J54" s="21">
        <f t="shared" si="19"/>
        <v>3.7709195997239472E-2</v>
      </c>
      <c r="K54" s="21">
        <f t="shared" si="20"/>
        <v>2.6619456891983577E-2</v>
      </c>
      <c r="M54" s="12">
        <f t="shared" si="25"/>
        <v>34</v>
      </c>
      <c r="N54" s="14">
        <f t="shared" si="21"/>
        <v>0.36740855762594893</v>
      </c>
      <c r="O54" s="14">
        <f t="shared" si="22"/>
        <v>0.71297334111476673</v>
      </c>
      <c r="P54" s="14">
        <f t="shared" si="23"/>
        <v>0.2619525068847301</v>
      </c>
    </row>
    <row r="55" spans="1:16" x14ac:dyDescent="0.2">
      <c r="A55" s="29">
        <f t="shared" si="17"/>
        <v>45</v>
      </c>
      <c r="B55" s="96">
        <v>94952</v>
      </c>
      <c r="C55" s="54">
        <f t="shared" si="13"/>
        <v>94952</v>
      </c>
      <c r="D55" s="90">
        <f t="shared" si="14"/>
        <v>0</v>
      </c>
      <c r="E55" s="107">
        <f t="shared" si="15"/>
        <v>377</v>
      </c>
      <c r="F55" s="93">
        <f t="shared" si="16"/>
        <v>3.9704271631982478E-3</v>
      </c>
      <c r="H55" s="12">
        <f t="shared" si="24"/>
        <v>36</v>
      </c>
      <c r="I55" s="21">
        <f t="shared" si="18"/>
        <v>0.69892494962725871</v>
      </c>
      <c r="J55" s="21">
        <f t="shared" si="19"/>
        <v>3.7428830227743272E-2</v>
      </c>
      <c r="K55" s="21">
        <f t="shared" si="20"/>
        <v>2.6159943281532684E-2</v>
      </c>
      <c r="M55" s="12">
        <f t="shared" si="25"/>
        <v>35</v>
      </c>
      <c r="N55" s="14">
        <f t="shared" si="21"/>
        <v>0.32969936162870944</v>
      </c>
      <c r="O55" s="14">
        <f t="shared" si="22"/>
        <v>0.70591419912353137</v>
      </c>
      <c r="P55" s="14">
        <f t="shared" si="23"/>
        <v>0.23273946081566999</v>
      </c>
    </row>
    <row r="56" spans="1:16" x14ac:dyDescent="0.2">
      <c r="A56" s="29">
        <f t="shared" si="17"/>
        <v>46</v>
      </c>
      <c r="B56" s="96">
        <v>94575</v>
      </c>
      <c r="C56" s="54">
        <f t="shared" si="13"/>
        <v>94575</v>
      </c>
      <c r="D56" s="90">
        <f t="shared" si="14"/>
        <v>0</v>
      </c>
      <c r="E56" s="107">
        <f t="shared" si="15"/>
        <v>411</v>
      </c>
      <c r="F56" s="93">
        <f t="shared" si="16"/>
        <v>4.3457573354480569E-3</v>
      </c>
      <c r="H56" s="12">
        <f t="shared" si="24"/>
        <v>37</v>
      </c>
      <c r="I56" s="21">
        <f t="shared" si="18"/>
        <v>0.69200490062104825</v>
      </c>
      <c r="J56" s="21">
        <f t="shared" si="19"/>
        <v>3.6630866114561768E-2</v>
      </c>
      <c r="K56" s="21">
        <f t="shared" si="20"/>
        <v>2.534873886527024E-2</v>
      </c>
      <c r="M56" s="12">
        <f t="shared" si="25"/>
        <v>36</v>
      </c>
      <c r="N56" s="14">
        <f t="shared" si="21"/>
        <v>0.2922705314009662</v>
      </c>
      <c r="O56" s="14">
        <f t="shared" si="22"/>
        <v>0.69892494962725871</v>
      </c>
      <c r="P56" s="14">
        <f t="shared" si="23"/>
        <v>0.20427516643695243</v>
      </c>
    </row>
    <row r="57" spans="1:16" x14ac:dyDescent="0.2">
      <c r="A57" s="29">
        <f t="shared" si="17"/>
        <v>47</v>
      </c>
      <c r="B57" s="96">
        <v>94164</v>
      </c>
      <c r="C57" s="54">
        <f t="shared" si="13"/>
        <v>94164</v>
      </c>
      <c r="D57" s="90">
        <f t="shared" si="14"/>
        <v>0</v>
      </c>
      <c r="E57" s="107">
        <f t="shared" si="15"/>
        <v>444</v>
      </c>
      <c r="F57" s="93">
        <f t="shared" si="16"/>
        <v>4.7151777749458394E-3</v>
      </c>
      <c r="H57" s="12">
        <f t="shared" si="24"/>
        <v>38</v>
      </c>
      <c r="I57" s="21">
        <f t="shared" si="18"/>
        <v>0.68515336695153295</v>
      </c>
      <c r="J57" s="21">
        <f t="shared" si="19"/>
        <v>3.5282953761214632E-2</v>
      </c>
      <c r="K57" s="21">
        <f t="shared" si="20"/>
        <v>2.4174234565491459E-2</v>
      </c>
      <c r="M57" s="12">
        <f t="shared" si="25"/>
        <v>37</v>
      </c>
      <c r="N57" s="14">
        <f t="shared" si="21"/>
        <v>0.25563966528640442</v>
      </c>
      <c r="O57" s="14">
        <f t="shared" si="22"/>
        <v>0.69200490062104825</v>
      </c>
      <c r="P57" s="14">
        <f t="shared" si="23"/>
        <v>0.17690390117131632</v>
      </c>
    </row>
    <row r="58" spans="1:16" x14ac:dyDescent="0.2">
      <c r="A58" s="29">
        <f t="shared" si="17"/>
        <v>48</v>
      </c>
      <c r="B58" s="96">
        <v>93720</v>
      </c>
      <c r="C58" s="54">
        <f t="shared" si="13"/>
        <v>93720</v>
      </c>
      <c r="D58" s="90">
        <f t="shared" si="14"/>
        <v>0</v>
      </c>
      <c r="E58" s="107">
        <f t="shared" si="15"/>
        <v>476</v>
      </c>
      <c r="F58" s="93">
        <f t="shared" si="16"/>
        <v>5.0789586000853605E-3</v>
      </c>
      <c r="H58" s="12">
        <f t="shared" si="24"/>
        <v>39</v>
      </c>
      <c r="I58" s="21">
        <f t="shared" si="18"/>
        <v>0.67836967024904249</v>
      </c>
      <c r="J58" s="21">
        <f t="shared" si="19"/>
        <v>3.339587646652864E-2</v>
      </c>
      <c r="K58" s="21">
        <f t="shared" si="20"/>
        <v>2.2654749706276792E-2</v>
      </c>
      <c r="M58" s="12">
        <f t="shared" si="25"/>
        <v>38</v>
      </c>
      <c r="N58" s="14">
        <f t="shared" si="21"/>
        <v>0.22035671152518979</v>
      </c>
      <c r="O58" s="14">
        <f t="shared" si="22"/>
        <v>0.68515336695153295</v>
      </c>
      <c r="P58" s="14">
        <f t="shared" si="23"/>
        <v>0.15097814283185146</v>
      </c>
    </row>
    <row r="59" spans="1:16" x14ac:dyDescent="0.2">
      <c r="A59" s="29">
        <f t="shared" si="17"/>
        <v>49</v>
      </c>
      <c r="B59" s="96">
        <v>93244</v>
      </c>
      <c r="C59" s="54">
        <f t="shared" si="13"/>
        <v>93244</v>
      </c>
      <c r="D59" s="90">
        <f t="shared" si="14"/>
        <v>0</v>
      </c>
      <c r="E59" s="107">
        <f t="shared" si="15"/>
        <v>508</v>
      </c>
      <c r="F59" s="93">
        <f t="shared" si="16"/>
        <v>5.4480717257946896E-3</v>
      </c>
      <c r="H59" s="12">
        <f t="shared" si="24"/>
        <v>40</v>
      </c>
      <c r="I59" s="21">
        <f t="shared" si="18"/>
        <v>0.67165313886043809</v>
      </c>
      <c r="J59" s="21">
        <f t="shared" si="19"/>
        <v>3.0991200828157348E-2</v>
      </c>
      <c r="K59" s="21">
        <f t="shared" si="20"/>
        <v>2.0815337313286091E-2</v>
      </c>
      <c r="M59" s="12">
        <f t="shared" si="25"/>
        <v>39</v>
      </c>
      <c r="N59" s="14">
        <f t="shared" si="21"/>
        <v>0.18696083505866115</v>
      </c>
      <c r="O59" s="14">
        <f t="shared" si="22"/>
        <v>0.67836967024904249</v>
      </c>
      <c r="P59" s="14">
        <f t="shared" si="23"/>
        <v>0.12682856002822959</v>
      </c>
    </row>
    <row r="60" spans="1:16" x14ac:dyDescent="0.2">
      <c r="A60" s="29">
        <f t="shared" si="17"/>
        <v>50</v>
      </c>
      <c r="B60" s="96">
        <v>92736</v>
      </c>
      <c r="C60" s="54">
        <f t="shared" si="13"/>
        <v>92736</v>
      </c>
      <c r="D60" s="90">
        <f t="shared" si="14"/>
        <v>0</v>
      </c>
      <c r="E60" s="107">
        <f t="shared" si="15"/>
        <v>540</v>
      </c>
      <c r="F60" s="93">
        <f t="shared" si="16"/>
        <v>5.822981366459627E-3</v>
      </c>
      <c r="H60" s="12">
        <f t="shared" si="24"/>
        <v>41</v>
      </c>
      <c r="I60" s="21">
        <f t="shared" si="18"/>
        <v>0.66500310778261196</v>
      </c>
      <c r="J60" s="21">
        <f t="shared" si="19"/>
        <v>2.8165976535541752E-2</v>
      </c>
      <c r="K60" s="21">
        <f t="shared" si="20"/>
        <v>1.8730461929867392E-2</v>
      </c>
      <c r="M60" s="12">
        <f t="shared" si="25"/>
        <v>40</v>
      </c>
      <c r="N60" s="14">
        <f t="shared" si="21"/>
        <v>0.15596963423050381</v>
      </c>
      <c r="O60" s="14">
        <f t="shared" si="22"/>
        <v>0.67165313886043809</v>
      </c>
      <c r="P60" s="14">
        <f t="shared" si="23"/>
        <v>0.10475749439783232</v>
      </c>
    </row>
    <row r="61" spans="1:16" x14ac:dyDescent="0.2">
      <c r="A61" s="29">
        <f t="shared" si="17"/>
        <v>51</v>
      </c>
      <c r="B61" s="96">
        <v>92196</v>
      </c>
      <c r="C61" s="54">
        <f t="shared" si="13"/>
        <v>92196</v>
      </c>
      <c r="D61" s="90">
        <f t="shared" si="14"/>
        <v>0</v>
      </c>
      <c r="E61" s="107">
        <f t="shared" si="15"/>
        <v>575</v>
      </c>
      <c r="F61" s="93">
        <f t="shared" si="16"/>
        <v>6.2367130895049673E-3</v>
      </c>
      <c r="H61" s="12">
        <f t="shared" si="24"/>
        <v>42</v>
      </c>
      <c r="I61" s="21">
        <f t="shared" si="18"/>
        <v>0.65841891859664547</v>
      </c>
      <c r="J61" s="21">
        <f t="shared" si="19"/>
        <v>2.5081953071083504E-2</v>
      </c>
      <c r="K61" s="21">
        <f t="shared" si="20"/>
        <v>1.6514432417354612E-2</v>
      </c>
      <c r="M61" s="12">
        <f t="shared" si="25"/>
        <v>41</v>
      </c>
      <c r="N61" s="14">
        <f t="shared" si="21"/>
        <v>0.12780365769496205</v>
      </c>
      <c r="O61" s="14">
        <f t="shared" si="22"/>
        <v>0.66500310778261196</v>
      </c>
      <c r="P61" s="14">
        <f t="shared" si="23"/>
        <v>8.4989829553134888E-2</v>
      </c>
    </row>
    <row r="62" spans="1:16" x14ac:dyDescent="0.2">
      <c r="A62" s="29">
        <f t="shared" si="17"/>
        <v>52</v>
      </c>
      <c r="B62" s="96">
        <v>91621</v>
      </c>
      <c r="C62" s="54">
        <f t="shared" si="13"/>
        <v>91621</v>
      </c>
      <c r="D62" s="90">
        <f t="shared" si="14"/>
        <v>0</v>
      </c>
      <c r="E62" s="107">
        <f t="shared" si="15"/>
        <v>612</v>
      </c>
      <c r="F62" s="93">
        <f t="shared" si="16"/>
        <v>6.6796913371388652E-3</v>
      </c>
      <c r="H62" s="12">
        <f t="shared" si="24"/>
        <v>43</v>
      </c>
      <c r="I62" s="21">
        <f t="shared" si="18"/>
        <v>0.65189991940261938</v>
      </c>
      <c r="J62" s="21">
        <f t="shared" si="19"/>
        <v>2.1868530020703932E-2</v>
      </c>
      <c r="K62" s="21">
        <f t="shared" si="20"/>
        <v>1.4256092957950656E-2</v>
      </c>
      <c r="M62" s="12">
        <f t="shared" si="25"/>
        <v>42</v>
      </c>
      <c r="N62" s="14">
        <f t="shared" si="21"/>
        <v>0.10272170462387854</v>
      </c>
      <c r="O62" s="14">
        <f t="shared" si="22"/>
        <v>0.65841891859664547</v>
      </c>
      <c r="P62" s="14">
        <f t="shared" si="23"/>
        <v>6.7633913674858145E-2</v>
      </c>
    </row>
    <row r="63" spans="1:16" x14ac:dyDescent="0.2">
      <c r="A63" s="29">
        <f t="shared" si="17"/>
        <v>53</v>
      </c>
      <c r="B63" s="96">
        <v>91009</v>
      </c>
      <c r="C63" s="54">
        <f t="shared" si="13"/>
        <v>91009</v>
      </c>
      <c r="D63" s="90">
        <f t="shared" si="14"/>
        <v>0</v>
      </c>
      <c r="E63" s="107">
        <f t="shared" si="15"/>
        <v>651</v>
      </c>
      <c r="F63" s="93">
        <f t="shared" si="16"/>
        <v>7.1531387005680756E-3</v>
      </c>
      <c r="H63" s="12">
        <f t="shared" si="24"/>
        <v>44</v>
      </c>
      <c r="I63" s="21">
        <f t="shared" si="18"/>
        <v>0.64544546475506859</v>
      </c>
      <c r="J63" s="21">
        <f t="shared" si="19"/>
        <v>1.8644323671497584E-2</v>
      </c>
      <c r="K63" s="21">
        <f t="shared" si="20"/>
        <v>1.2033894157193685E-2</v>
      </c>
      <c r="M63" s="12">
        <f t="shared" si="25"/>
        <v>43</v>
      </c>
      <c r="N63" s="14">
        <f t="shared" si="21"/>
        <v>8.0853174603174607E-2</v>
      </c>
      <c r="O63" s="14">
        <f t="shared" si="22"/>
        <v>0.65189991940261938</v>
      </c>
      <c r="P63" s="14">
        <f t="shared" si="23"/>
        <v>5.2708178007255441E-2</v>
      </c>
    </row>
    <row r="64" spans="1:16" x14ac:dyDescent="0.2">
      <c r="A64" s="29">
        <f t="shared" si="17"/>
        <v>54</v>
      </c>
      <c r="B64" s="96">
        <v>90358</v>
      </c>
      <c r="C64" s="54">
        <f t="shared" si="13"/>
        <v>90358</v>
      </c>
      <c r="D64" s="90">
        <f t="shared" si="14"/>
        <v>0</v>
      </c>
      <c r="E64" s="107">
        <f t="shared" si="15"/>
        <v>693</v>
      </c>
      <c r="F64" s="93">
        <f t="shared" si="16"/>
        <v>7.6694924633126009E-3</v>
      </c>
      <c r="H64" s="12">
        <f t="shared" si="24"/>
        <v>45</v>
      </c>
      <c r="I64" s="21">
        <f t="shared" si="18"/>
        <v>0.6390549155990779</v>
      </c>
      <c r="J64" s="21">
        <f t="shared" si="19"/>
        <v>1.5506383712905452E-2</v>
      </c>
      <c r="K64" s="21">
        <f t="shared" si="20"/>
        <v>9.909430734897709E-3</v>
      </c>
      <c r="M64" s="12">
        <f t="shared" si="25"/>
        <v>44</v>
      </c>
      <c r="N64" s="14">
        <f t="shared" si="21"/>
        <v>6.2208850931677016E-2</v>
      </c>
      <c r="O64" s="14">
        <f t="shared" si="22"/>
        <v>0.64544546475506859</v>
      </c>
      <c r="P64" s="14">
        <f t="shared" si="23"/>
        <v>4.0152420701475053E-2</v>
      </c>
    </row>
    <row r="65" spans="1:16" x14ac:dyDescent="0.2">
      <c r="A65" s="29">
        <f t="shared" si="17"/>
        <v>55</v>
      </c>
      <c r="B65" s="96">
        <v>89665</v>
      </c>
      <c r="C65" s="54">
        <f t="shared" si="13"/>
        <v>89665</v>
      </c>
      <c r="D65" s="90">
        <f t="shared" si="14"/>
        <v>0</v>
      </c>
      <c r="E65" s="107">
        <f t="shared" si="15"/>
        <v>736</v>
      </c>
      <c r="F65" s="93">
        <f t="shared" si="16"/>
        <v>8.2083310098700728E-3</v>
      </c>
      <c r="H65" s="12">
        <f t="shared" si="24"/>
        <v>46</v>
      </c>
      <c r="I65" s="21">
        <f t="shared" si="18"/>
        <v>0.63272763920700781</v>
      </c>
      <c r="J65" s="21">
        <f t="shared" si="19"/>
        <v>1.2562543133195308E-2</v>
      </c>
      <c r="K65" s="21">
        <f t="shared" si="20"/>
        <v>7.9486682591028736E-3</v>
      </c>
      <c r="M65" s="12">
        <f t="shared" si="25"/>
        <v>45</v>
      </c>
      <c r="N65" s="14">
        <f t="shared" si="21"/>
        <v>4.6702467218771568E-2</v>
      </c>
      <c r="O65" s="14">
        <f t="shared" si="22"/>
        <v>0.6390549155990779</v>
      </c>
      <c r="P65" s="14">
        <f t="shared" si="23"/>
        <v>2.9845441246760765E-2</v>
      </c>
    </row>
    <row r="66" spans="1:16" x14ac:dyDescent="0.2">
      <c r="A66" s="29">
        <f t="shared" si="17"/>
        <v>56</v>
      </c>
      <c r="B66" s="96">
        <v>88929</v>
      </c>
      <c r="C66" s="54">
        <f t="shared" si="13"/>
        <v>88929</v>
      </c>
      <c r="D66" s="90">
        <f t="shared" si="14"/>
        <v>0</v>
      </c>
      <c r="E66" s="107">
        <f t="shared" si="15"/>
        <v>778</v>
      </c>
      <c r="F66" s="93">
        <f t="shared" si="16"/>
        <v>8.748552215812614E-3</v>
      </c>
      <c r="H66" s="12">
        <f t="shared" si="24"/>
        <v>47</v>
      </c>
      <c r="I66" s="21">
        <f t="shared" si="18"/>
        <v>0.62646300911584929</v>
      </c>
      <c r="J66" s="21">
        <f t="shared" si="19"/>
        <v>9.8882850241545899E-3</v>
      </c>
      <c r="K66" s="21">
        <f t="shared" si="20"/>
        <v>6.1946447912270726E-3</v>
      </c>
      <c r="M66" s="12">
        <f t="shared" si="25"/>
        <v>46</v>
      </c>
      <c r="N66" s="14">
        <f t="shared" si="21"/>
        <v>3.4139924085576256E-2</v>
      </c>
      <c r="O66" s="14">
        <f t="shared" si="22"/>
        <v>0.63272763920700781</v>
      </c>
      <c r="P66" s="14">
        <f t="shared" si="23"/>
        <v>2.1601273569373129E-2</v>
      </c>
    </row>
    <row r="67" spans="1:16" x14ac:dyDescent="0.2">
      <c r="A67" s="29">
        <f t="shared" si="17"/>
        <v>57</v>
      </c>
      <c r="B67" s="96">
        <v>88151</v>
      </c>
      <c r="C67" s="54">
        <f t="shared" si="13"/>
        <v>88151</v>
      </c>
      <c r="D67" s="90">
        <f t="shared" si="14"/>
        <v>0</v>
      </c>
      <c r="E67" s="107">
        <f t="shared" si="15"/>
        <v>822</v>
      </c>
      <c r="F67" s="93">
        <f t="shared" si="16"/>
        <v>9.3249083958208082E-3</v>
      </c>
      <c r="H67" s="12">
        <f t="shared" si="24"/>
        <v>48</v>
      </c>
      <c r="I67" s="21">
        <f t="shared" si="18"/>
        <v>0.62026040506519731</v>
      </c>
      <c r="J67" s="21">
        <f t="shared" si="19"/>
        <v>7.548309178743961E-3</v>
      </c>
      <c r="K67" s="21">
        <f t="shared" si="20"/>
        <v>4.6819173087650759E-3</v>
      </c>
      <c r="M67" s="12">
        <f t="shared" si="25"/>
        <v>47</v>
      </c>
      <c r="N67" s="14">
        <f t="shared" si="21"/>
        <v>2.4251639061421672E-2</v>
      </c>
      <c r="O67" s="14">
        <f t="shared" si="22"/>
        <v>0.62646300911584929</v>
      </c>
      <c r="P67" s="14">
        <f t="shared" si="23"/>
        <v>1.5192754782409692E-2</v>
      </c>
    </row>
    <row r="68" spans="1:16" x14ac:dyDescent="0.2">
      <c r="A68" s="29">
        <f t="shared" si="17"/>
        <v>58</v>
      </c>
      <c r="B68" s="96">
        <v>87329</v>
      </c>
      <c r="C68" s="54">
        <f t="shared" si="13"/>
        <v>87329</v>
      </c>
      <c r="D68" s="90">
        <f t="shared" si="14"/>
        <v>0</v>
      </c>
      <c r="E68" s="107">
        <f t="shared" si="15"/>
        <v>869</v>
      </c>
      <c r="F68" s="93">
        <f t="shared" si="16"/>
        <v>9.9508754251165128E-3</v>
      </c>
      <c r="H68" s="12">
        <f t="shared" si="24"/>
        <v>49</v>
      </c>
      <c r="I68" s="21">
        <f t="shared" si="18"/>
        <v>0.61411921293583893</v>
      </c>
      <c r="J68" s="21">
        <f t="shared" si="19"/>
        <v>5.574965493443754E-3</v>
      </c>
      <c r="K68" s="21">
        <f t="shared" si="20"/>
        <v>3.4236934209781393E-3</v>
      </c>
      <c r="M68" s="12">
        <f t="shared" si="25"/>
        <v>48</v>
      </c>
      <c r="N68" s="14">
        <f t="shared" si="21"/>
        <v>1.6703329882677708E-2</v>
      </c>
      <c r="O68" s="14">
        <f t="shared" si="22"/>
        <v>0.62026040506519731</v>
      </c>
      <c r="P68" s="14">
        <f t="shared" si="23"/>
        <v>1.0360414158967289E-2</v>
      </c>
    </row>
    <row r="69" spans="1:16" x14ac:dyDescent="0.2">
      <c r="A69" s="29">
        <f t="shared" si="17"/>
        <v>59</v>
      </c>
      <c r="B69" s="96">
        <v>86460</v>
      </c>
      <c r="C69" s="54">
        <f t="shared" si="13"/>
        <v>86460</v>
      </c>
      <c r="D69" s="90">
        <f t="shared" si="14"/>
        <v>0</v>
      </c>
      <c r="E69" s="107">
        <f t="shared" si="15"/>
        <v>922</v>
      </c>
      <c r="F69" s="93">
        <f t="shared" si="16"/>
        <v>1.0663890816562572E-2</v>
      </c>
      <c r="H69" s="12">
        <f t="shared" si="24"/>
        <v>50</v>
      </c>
      <c r="I69" s="21">
        <f t="shared" si="18"/>
        <v>0.60803882468894932</v>
      </c>
      <c r="J69" s="21">
        <f t="shared" si="19"/>
        <v>3.979037267080745E-3</v>
      </c>
      <c r="K69" s="21">
        <f t="shared" si="20"/>
        <v>2.4194091432693052E-3</v>
      </c>
      <c r="M69" s="12">
        <f t="shared" si="25"/>
        <v>49</v>
      </c>
      <c r="N69" s="14">
        <f t="shared" si="21"/>
        <v>1.1128364389233954E-2</v>
      </c>
      <c r="O69" s="14">
        <f t="shared" si="22"/>
        <v>0.61411921293583893</v>
      </c>
      <c r="P69" s="14">
        <f t="shared" si="23"/>
        <v>6.8341423799795735E-3</v>
      </c>
    </row>
    <row r="70" spans="1:16" x14ac:dyDescent="0.2">
      <c r="A70" s="29">
        <f t="shared" si="17"/>
        <v>60</v>
      </c>
      <c r="B70" s="96">
        <v>85538</v>
      </c>
      <c r="C70" s="54">
        <f t="shared" si="13"/>
        <v>85538</v>
      </c>
      <c r="D70" s="90">
        <f t="shared" si="14"/>
        <v>0</v>
      </c>
      <c r="E70" s="107">
        <f t="shared" si="15"/>
        <v>980</v>
      </c>
      <c r="F70" s="93">
        <f t="shared" si="16"/>
        <v>1.1456896350160162E-2</v>
      </c>
      <c r="H70" s="12">
        <f t="shared" si="24"/>
        <v>51</v>
      </c>
      <c r="I70" s="21">
        <f t="shared" si="18"/>
        <v>0.60201863830589042</v>
      </c>
      <c r="J70" s="21">
        <f t="shared" si="19"/>
        <v>2.728174603174603E-3</v>
      </c>
      <c r="K70" s="21">
        <f t="shared" si="20"/>
        <v>1.6424119596638875E-3</v>
      </c>
      <c r="M70" s="12">
        <f t="shared" si="25"/>
        <v>50</v>
      </c>
      <c r="N70" s="14">
        <f t="shared" si="21"/>
        <v>7.149327122153209E-3</v>
      </c>
      <c r="O70" s="14">
        <f t="shared" si="22"/>
        <v>0.60803882468894932</v>
      </c>
      <c r="P70" s="14">
        <f t="shared" si="23"/>
        <v>4.347068460670866E-3</v>
      </c>
    </row>
    <row r="71" spans="1:16" x14ac:dyDescent="0.2">
      <c r="A71" s="29">
        <f t="shared" si="17"/>
        <v>61</v>
      </c>
      <c r="B71" s="96">
        <v>84558</v>
      </c>
      <c r="C71" s="54">
        <f t="shared" si="13"/>
        <v>84558</v>
      </c>
      <c r="D71" s="90">
        <f t="shared" si="14"/>
        <v>0</v>
      </c>
      <c r="E71" s="107">
        <f t="shared" si="15"/>
        <v>1044</v>
      </c>
      <c r="F71" s="93">
        <f t="shared" si="16"/>
        <v>1.2346555027318526E-2</v>
      </c>
      <c r="H71" s="12">
        <f t="shared" si="24"/>
        <v>52</v>
      </c>
      <c r="I71" s="21">
        <f t="shared" si="18"/>
        <v>0.59605805772860443</v>
      </c>
      <c r="J71" s="21">
        <f t="shared" si="19"/>
        <v>1.7900276052449965E-3</v>
      </c>
      <c r="K71" s="21">
        <f t="shared" si="20"/>
        <v>1.0669603776629177E-3</v>
      </c>
      <c r="M71" s="12">
        <f t="shared" si="25"/>
        <v>51</v>
      </c>
      <c r="N71" s="14">
        <f t="shared" si="21"/>
        <v>4.421152518978606E-3</v>
      </c>
      <c r="O71" s="14">
        <f t="shared" si="22"/>
        <v>0.60201863830589042</v>
      </c>
      <c r="P71" s="14">
        <f t="shared" si="23"/>
        <v>2.6616162192181578E-3</v>
      </c>
    </row>
    <row r="72" spans="1:16" x14ac:dyDescent="0.2">
      <c r="A72" s="29">
        <f t="shared" si="17"/>
        <v>62</v>
      </c>
      <c r="B72" s="96">
        <v>83514</v>
      </c>
      <c r="C72" s="54">
        <f t="shared" si="13"/>
        <v>83514</v>
      </c>
      <c r="D72" s="90">
        <f t="shared" si="14"/>
        <v>0</v>
      </c>
      <c r="E72" s="107">
        <f t="shared" si="15"/>
        <v>1115</v>
      </c>
      <c r="F72" s="93">
        <f t="shared" si="16"/>
        <v>1.3351054912948726E-2</v>
      </c>
      <c r="H72" s="12">
        <f t="shared" si="24"/>
        <v>53</v>
      </c>
      <c r="I72" s="21">
        <f t="shared" si="18"/>
        <v>0.59015649280059845</v>
      </c>
      <c r="J72" s="21">
        <f t="shared" si="19"/>
        <v>1.1322463768115942E-3</v>
      </c>
      <c r="K72" s="21">
        <f t="shared" si="20"/>
        <v>6.682025507253153E-4</v>
      </c>
      <c r="M72" s="12">
        <f t="shared" si="25"/>
        <v>52</v>
      </c>
      <c r="N72" s="14">
        <f t="shared" si="21"/>
        <v>2.6311249137336095E-3</v>
      </c>
      <c r="O72" s="14">
        <f t="shared" si="22"/>
        <v>0.59605805772860443</v>
      </c>
      <c r="P72" s="14">
        <f t="shared" si="23"/>
        <v>1.5683032057213972E-3</v>
      </c>
    </row>
    <row r="73" spans="1:16" x14ac:dyDescent="0.2">
      <c r="A73" s="29">
        <f t="shared" si="17"/>
        <v>63</v>
      </c>
      <c r="B73" s="96">
        <v>82399</v>
      </c>
      <c r="C73" s="54">
        <f t="shared" si="13"/>
        <v>82399</v>
      </c>
      <c r="D73" s="90">
        <f t="shared" si="14"/>
        <v>0</v>
      </c>
      <c r="E73" s="107">
        <f t="shared" si="15"/>
        <v>1193</v>
      </c>
      <c r="F73" s="93">
        <f t="shared" si="16"/>
        <v>1.4478331047706889E-2</v>
      </c>
      <c r="H73" s="12">
        <f t="shared" si="24"/>
        <v>54</v>
      </c>
      <c r="I73" s="21">
        <f t="shared" si="18"/>
        <v>0.58431335920851335</v>
      </c>
      <c r="J73" s="21">
        <f t="shared" si="19"/>
        <v>6.9013112491373362E-4</v>
      </c>
      <c r="K73" s="21">
        <f t="shared" si="20"/>
        <v>4.0325283589269382E-4</v>
      </c>
      <c r="M73" s="12">
        <f t="shared" si="25"/>
        <v>53</v>
      </c>
      <c r="N73" s="14">
        <f t="shared" si="21"/>
        <v>1.4988785369220152E-3</v>
      </c>
      <c r="O73" s="14">
        <f t="shared" si="22"/>
        <v>0.59015649280059845</v>
      </c>
      <c r="P73" s="14">
        <f t="shared" si="23"/>
        <v>8.8457290048398883E-4</v>
      </c>
    </row>
    <row r="74" spans="1:16" x14ac:dyDescent="0.2">
      <c r="A74" s="29">
        <f t="shared" si="17"/>
        <v>64</v>
      </c>
      <c r="B74" s="96">
        <v>81206</v>
      </c>
      <c r="C74" s="54">
        <f t="shared" ref="C74:C105" si="26">lx(A74)</f>
        <v>81206</v>
      </c>
      <c r="D74" s="90">
        <f t="shared" ref="D74:D105" si="27">(B74&lt;&gt;C74)*1</f>
        <v>0</v>
      </c>
      <c r="E74" s="107">
        <f t="shared" ref="E74:E105" si="28">dx(A74)</f>
        <v>1280</v>
      </c>
      <c r="F74" s="93">
        <f t="shared" ref="F74:F105" si="29">qx(A74)</f>
        <v>1.5762382089993351E-2</v>
      </c>
      <c r="H74" s="12">
        <f t="shared" si="24"/>
        <v>55</v>
      </c>
      <c r="I74" s="21">
        <f t="shared" si="18"/>
        <v>0.57852807842427056</v>
      </c>
      <c r="J74" s="21">
        <f t="shared" si="19"/>
        <v>3.8819875776397513E-4</v>
      </c>
      <c r="K74" s="21">
        <f t="shared" si="20"/>
        <v>2.2458388137588142E-4</v>
      </c>
      <c r="M74" s="12">
        <f t="shared" si="25"/>
        <v>54</v>
      </c>
      <c r="N74" s="14">
        <f t="shared" si="21"/>
        <v>8.0874741200828162E-4</v>
      </c>
      <c r="O74" s="14">
        <f t="shared" si="22"/>
        <v>0.58431335920851335</v>
      </c>
      <c r="P74" s="14">
        <f t="shared" si="23"/>
        <v>4.7256191706175063E-4</v>
      </c>
    </row>
    <row r="75" spans="1:16" x14ac:dyDescent="0.2">
      <c r="A75" s="29">
        <f t="shared" ref="A75:A106" si="30">A74+1</f>
        <v>65</v>
      </c>
      <c r="B75" s="96">
        <v>79926</v>
      </c>
      <c r="C75" s="54">
        <f t="shared" si="26"/>
        <v>79926</v>
      </c>
      <c r="D75" s="90">
        <f t="shared" si="27"/>
        <v>0</v>
      </c>
      <c r="E75" s="107">
        <f t="shared" si="28"/>
        <v>1374</v>
      </c>
      <c r="F75" s="93">
        <f t="shared" si="29"/>
        <v>1.7190901583965169E-2</v>
      </c>
      <c r="H75" s="12">
        <f t="shared" si="24"/>
        <v>56</v>
      </c>
      <c r="I75" s="21">
        <f t="shared" si="18"/>
        <v>0.57280007764779262</v>
      </c>
      <c r="J75" s="21">
        <f t="shared" si="19"/>
        <v>2.1566597653554175E-4</v>
      </c>
      <c r="K75" s="21">
        <f t="shared" si="20"/>
        <v>1.2353348810554535E-4</v>
      </c>
      <c r="M75" s="12">
        <f t="shared" si="25"/>
        <v>55</v>
      </c>
      <c r="N75" s="14">
        <f t="shared" si="21"/>
        <v>4.2054865424430643E-4</v>
      </c>
      <c r="O75" s="14">
        <f t="shared" si="22"/>
        <v>0.57852807842427056</v>
      </c>
      <c r="P75" s="14">
        <f t="shared" si="23"/>
        <v>2.4329920482387156E-4</v>
      </c>
    </row>
    <row r="76" spans="1:16" x14ac:dyDescent="0.2">
      <c r="A76" s="29">
        <f t="shared" si="30"/>
        <v>66</v>
      </c>
      <c r="B76" s="96">
        <v>78552</v>
      </c>
      <c r="C76" s="54">
        <f t="shared" si="26"/>
        <v>78552</v>
      </c>
      <c r="D76" s="90">
        <f t="shared" si="27"/>
        <v>0</v>
      </c>
      <c r="E76" s="107">
        <f t="shared" si="28"/>
        <v>1474</v>
      </c>
      <c r="F76" s="93">
        <f t="shared" si="29"/>
        <v>1.8764639983705061E-2</v>
      </c>
      <c r="H76" s="12">
        <f t="shared" si="24"/>
        <v>57</v>
      </c>
      <c r="I76" s="21">
        <f t="shared" si="18"/>
        <v>0.5671287897502898</v>
      </c>
      <c r="J76" s="21">
        <f t="shared" si="19"/>
        <v>1.0783298826777088E-4</v>
      </c>
      <c r="K76" s="21">
        <f t="shared" si="20"/>
        <v>6.1155192131458089E-5</v>
      </c>
      <c r="M76" s="12">
        <f t="shared" si="25"/>
        <v>56</v>
      </c>
      <c r="N76" s="14">
        <f t="shared" si="21"/>
        <v>2.0488267770876466E-4</v>
      </c>
      <c r="O76" s="14">
        <f t="shared" si="22"/>
        <v>0.57280007764779262</v>
      </c>
      <c r="P76" s="14">
        <f t="shared" si="23"/>
        <v>1.1735681370026806E-4</v>
      </c>
    </row>
    <row r="77" spans="1:16" x14ac:dyDescent="0.2">
      <c r="A77" s="29">
        <f t="shared" si="30"/>
        <v>67</v>
      </c>
      <c r="B77" s="96">
        <v>77078</v>
      </c>
      <c r="C77" s="54">
        <f t="shared" si="26"/>
        <v>77078</v>
      </c>
      <c r="D77" s="90">
        <f t="shared" si="27"/>
        <v>0</v>
      </c>
      <c r="E77" s="107">
        <f t="shared" si="28"/>
        <v>1577</v>
      </c>
      <c r="F77" s="93">
        <f t="shared" si="29"/>
        <v>2.0459793974934481E-2</v>
      </c>
      <c r="H77" s="12">
        <f t="shared" si="24"/>
        <v>58</v>
      </c>
      <c r="I77" s="21">
        <f t="shared" si="18"/>
        <v>0.56151365321810864</v>
      </c>
      <c r="J77" s="21">
        <f t="shared" si="19"/>
        <v>5.3916494133885438E-5</v>
      </c>
      <c r="K77" s="21">
        <f t="shared" si="20"/>
        <v>3.0274847589830738E-5</v>
      </c>
      <c r="M77" s="12">
        <f t="shared" si="25"/>
        <v>57</v>
      </c>
      <c r="N77" s="14">
        <f t="shared" si="21"/>
        <v>9.7049689440993782E-5</v>
      </c>
      <c r="O77" s="14">
        <f t="shared" si="22"/>
        <v>0.5671287897502898</v>
      </c>
      <c r="P77" s="14">
        <f t="shared" si="23"/>
        <v>5.5039672918312285E-5</v>
      </c>
    </row>
    <row r="78" spans="1:16" x14ac:dyDescent="0.2">
      <c r="A78" s="29">
        <f t="shared" si="30"/>
        <v>68</v>
      </c>
      <c r="B78" s="96">
        <v>75501</v>
      </c>
      <c r="C78" s="54">
        <f t="shared" si="26"/>
        <v>75501</v>
      </c>
      <c r="D78" s="90">
        <f t="shared" si="27"/>
        <v>0</v>
      </c>
      <c r="E78" s="107">
        <f t="shared" si="28"/>
        <v>1685</v>
      </c>
      <c r="F78" s="93">
        <f t="shared" si="29"/>
        <v>2.2317585197547053E-2</v>
      </c>
      <c r="H78" s="12">
        <f t="shared" si="24"/>
        <v>59</v>
      </c>
      <c r="I78" s="21">
        <f t="shared" si="18"/>
        <v>0.5559541120971373</v>
      </c>
      <c r="J78" s="21">
        <f t="shared" si="19"/>
        <v>2.1566597653554176E-5</v>
      </c>
      <c r="K78" s="21">
        <f t="shared" si="20"/>
        <v>1.1990038649437917E-5</v>
      </c>
      <c r="M78" s="12">
        <f t="shared" si="25"/>
        <v>58</v>
      </c>
      <c r="N78" s="14">
        <f t="shared" si="21"/>
        <v>4.3133195307108351E-5</v>
      </c>
      <c r="O78" s="14">
        <f t="shared" si="22"/>
        <v>0.56151365321810864</v>
      </c>
      <c r="P78" s="14">
        <f t="shared" si="23"/>
        <v>2.4219878071864591E-5</v>
      </c>
    </row>
    <row r="79" spans="1:16" x14ac:dyDescent="0.2">
      <c r="A79" s="29">
        <f t="shared" si="30"/>
        <v>69</v>
      </c>
      <c r="B79" s="96">
        <v>73816</v>
      </c>
      <c r="C79" s="54">
        <f t="shared" si="26"/>
        <v>73816</v>
      </c>
      <c r="D79" s="90">
        <f t="shared" si="27"/>
        <v>0</v>
      </c>
      <c r="E79" s="107">
        <f t="shared" si="28"/>
        <v>1797</v>
      </c>
      <c r="F79" s="93">
        <f t="shared" si="29"/>
        <v>2.4344315595534842E-2</v>
      </c>
      <c r="H79" s="12">
        <f t="shared" si="24"/>
        <v>60</v>
      </c>
      <c r="I79" s="21">
        <f t="shared" si="18"/>
        <v>0.55044961593775965</v>
      </c>
      <c r="J79" s="21">
        <f t="shared" si="19"/>
        <v>1.0783298826777088E-5</v>
      </c>
      <c r="K79" s="21">
        <f t="shared" si="20"/>
        <v>5.9356626977415421E-6</v>
      </c>
      <c r="M79" s="12">
        <f t="shared" si="25"/>
        <v>59</v>
      </c>
      <c r="N79" s="14">
        <f t="shared" si="21"/>
        <v>2.1566597653554176E-5</v>
      </c>
      <c r="O79" s="14">
        <f t="shared" si="22"/>
        <v>0.5559541120971373</v>
      </c>
      <c r="P79" s="14">
        <f t="shared" si="23"/>
        <v>1.1990038649437917E-5</v>
      </c>
    </row>
    <row r="80" spans="1:16" x14ac:dyDescent="0.2">
      <c r="A80" s="29">
        <f t="shared" si="30"/>
        <v>70</v>
      </c>
      <c r="B80" s="96">
        <v>72019</v>
      </c>
      <c r="C80" s="54">
        <f t="shared" si="26"/>
        <v>72019</v>
      </c>
      <c r="D80" s="90">
        <f t="shared" si="27"/>
        <v>0</v>
      </c>
      <c r="E80" s="107">
        <f t="shared" si="28"/>
        <v>1914</v>
      </c>
      <c r="F80" s="93">
        <f t="shared" si="29"/>
        <v>2.657632013774143E-2</v>
      </c>
      <c r="H80" s="12">
        <f t="shared" si="24"/>
        <v>61</v>
      </c>
      <c r="I80" s="21">
        <f t="shared" si="18"/>
        <v>0.54499961974035616</v>
      </c>
      <c r="J80" s="21" t="e">
        <f t="shared" si="19"/>
        <v>#VALUE!</v>
      </c>
      <c r="K80" s="21" t="e">
        <f t="shared" si="20"/>
        <v>#VALUE!</v>
      </c>
      <c r="M80" s="12">
        <f t="shared" si="25"/>
        <v>60</v>
      </c>
      <c r="N80" s="14">
        <f t="shared" si="21"/>
        <v>1.0783298826777088E-5</v>
      </c>
      <c r="O80" s="14">
        <f t="shared" si="22"/>
        <v>0.55044961593775965</v>
      </c>
      <c r="P80" s="14">
        <f t="shared" si="23"/>
        <v>5.9356626977415421E-6</v>
      </c>
    </row>
    <row r="81" spans="1:16" x14ac:dyDescent="0.2">
      <c r="A81" s="29">
        <f t="shared" si="30"/>
        <v>71</v>
      </c>
      <c r="B81" s="96">
        <v>70105</v>
      </c>
      <c r="C81" s="54">
        <f t="shared" si="26"/>
        <v>70105</v>
      </c>
      <c r="D81" s="90">
        <f t="shared" si="27"/>
        <v>0</v>
      </c>
      <c r="E81" s="107">
        <f t="shared" si="28"/>
        <v>2035</v>
      </c>
      <c r="F81" s="93">
        <f t="shared" si="29"/>
        <v>2.9027886741316598E-2</v>
      </c>
      <c r="H81" s="12">
        <f t="shared" si="24"/>
        <v>62</v>
      </c>
      <c r="I81" s="21">
        <f t="shared" si="18"/>
        <v>0.53960358390134266</v>
      </c>
      <c r="J81" s="21" t="e">
        <f t="shared" si="19"/>
        <v>#VALUE!</v>
      </c>
      <c r="K81" s="21" t="e">
        <f t="shared" si="20"/>
        <v>#VALUE!</v>
      </c>
      <c r="M81" s="12">
        <f t="shared" si="25"/>
        <v>61</v>
      </c>
      <c r="N81" s="14" t="e">
        <f t="shared" si="21"/>
        <v>#VALUE!</v>
      </c>
      <c r="O81" s="14">
        <f t="shared" si="22"/>
        <v>0.54499961974035616</v>
      </c>
      <c r="P81" s="14" t="e">
        <f t="shared" si="23"/>
        <v>#VALUE!</v>
      </c>
    </row>
    <row r="82" spans="1:16" x14ac:dyDescent="0.2">
      <c r="A82" s="29">
        <f t="shared" si="30"/>
        <v>72</v>
      </c>
      <c r="B82" s="96">
        <v>68070</v>
      </c>
      <c r="C82" s="54">
        <f t="shared" si="26"/>
        <v>68070</v>
      </c>
      <c r="D82" s="90">
        <f t="shared" si="27"/>
        <v>0</v>
      </c>
      <c r="E82" s="107">
        <f t="shared" si="28"/>
        <v>2156</v>
      </c>
      <c r="F82" s="93">
        <f t="shared" si="29"/>
        <v>3.1673277508447187E-2</v>
      </c>
      <c r="H82" s="12">
        <f t="shared" si="24"/>
        <v>63</v>
      </c>
      <c r="I82" s="21">
        <f t="shared" si="18"/>
        <v>0.53426097415974516</v>
      </c>
      <c r="J82" s="21" t="e">
        <f t="shared" si="19"/>
        <v>#VALUE!</v>
      </c>
      <c r="K82" s="21" t="e">
        <f t="shared" si="20"/>
        <v>#VALUE!</v>
      </c>
      <c r="M82" s="12">
        <f t="shared" si="25"/>
        <v>62</v>
      </c>
      <c r="N82" s="14" t="e">
        <f t="shared" si="21"/>
        <v>#VALUE!</v>
      </c>
      <c r="O82" s="14">
        <f t="shared" si="22"/>
        <v>0.53960358390134266</v>
      </c>
      <c r="P82" s="14" t="e">
        <f t="shared" si="23"/>
        <v>#VALUE!</v>
      </c>
    </row>
    <row r="83" spans="1:16" x14ac:dyDescent="0.2">
      <c r="A83" s="29">
        <f t="shared" si="30"/>
        <v>73</v>
      </c>
      <c r="B83" s="96">
        <v>65914</v>
      </c>
      <c r="C83" s="54">
        <f t="shared" si="26"/>
        <v>65914</v>
      </c>
      <c r="D83" s="90">
        <f t="shared" si="27"/>
        <v>0</v>
      </c>
      <c r="E83" s="107">
        <f t="shared" si="28"/>
        <v>2277</v>
      </c>
      <c r="F83" s="93">
        <f t="shared" si="29"/>
        <v>3.45450131990169E-2</v>
      </c>
      <c r="H83" s="12">
        <f t="shared" si="24"/>
        <v>64</v>
      </c>
      <c r="I83" s="21">
        <f t="shared" si="18"/>
        <v>0.52897126154430218</v>
      </c>
      <c r="J83" s="21" t="e">
        <f t="shared" si="19"/>
        <v>#VALUE!</v>
      </c>
      <c r="K83" s="21" t="e">
        <f t="shared" si="20"/>
        <v>#VALUE!</v>
      </c>
      <c r="M83" s="12">
        <f t="shared" si="25"/>
        <v>63</v>
      </c>
      <c r="N83" s="14" t="e">
        <f t="shared" si="21"/>
        <v>#VALUE!</v>
      </c>
      <c r="O83" s="14">
        <f t="shared" si="22"/>
        <v>0.53426097415974516</v>
      </c>
      <c r="P83" s="14" t="e">
        <f t="shared" si="23"/>
        <v>#VALUE!</v>
      </c>
    </row>
    <row r="84" spans="1:16" x14ac:dyDescent="0.2">
      <c r="A84" s="29">
        <f t="shared" si="30"/>
        <v>74</v>
      </c>
      <c r="B84" s="96">
        <v>63637</v>
      </c>
      <c r="C84" s="54">
        <f t="shared" si="26"/>
        <v>63637</v>
      </c>
      <c r="D84" s="90">
        <f t="shared" si="27"/>
        <v>0</v>
      </c>
      <c r="E84" s="107">
        <f t="shared" si="28"/>
        <v>2398</v>
      </c>
      <c r="F84" s="93">
        <f t="shared" si="29"/>
        <v>3.7682480318053962E-2</v>
      </c>
      <c r="H84" s="12">
        <f t="shared" si="24"/>
        <v>65</v>
      </c>
      <c r="I84" s="21">
        <f t="shared" ref="I84:I115" si="31">techDF(H84,$I$4)</f>
        <v>0.52373392232109128</v>
      </c>
      <c r="J84" s="21" t="e">
        <f t="shared" ref="J84:J111" si="32">n_1qx($I$1,H84-1)</f>
        <v>#VALUE!</v>
      </c>
      <c r="K84" s="21" t="e">
        <f t="shared" ref="K84:K115" si="33">I84*J84</f>
        <v>#VALUE!</v>
      </c>
      <c r="M84" s="12">
        <f t="shared" si="25"/>
        <v>64</v>
      </c>
      <c r="N84" s="14" t="e">
        <f t="shared" ref="N84:N115" si="34">npx($I$1,M84)</f>
        <v>#VALUE!</v>
      </c>
      <c r="O84" s="14">
        <f t="shared" ref="O84:O111" si="35">techDF(M84,$I$4)</f>
        <v>0.52897126154430218</v>
      </c>
      <c r="P84" s="14" t="e">
        <f t="shared" ref="P84:P111" si="36">nEx($I$1,M84,$I$4)</f>
        <v>#VALUE!</v>
      </c>
    </row>
    <row r="85" spans="1:16" x14ac:dyDescent="0.2">
      <c r="A85" s="29">
        <f t="shared" si="30"/>
        <v>75</v>
      </c>
      <c r="B85" s="96">
        <v>61239</v>
      </c>
      <c r="C85" s="54">
        <f t="shared" si="26"/>
        <v>61239</v>
      </c>
      <c r="D85" s="90">
        <f t="shared" si="27"/>
        <v>0</v>
      </c>
      <c r="E85" s="107">
        <f t="shared" si="28"/>
        <v>2521</v>
      </c>
      <c r="F85" s="93">
        <f t="shared" si="29"/>
        <v>4.1166576854618789E-2</v>
      </c>
      <c r="H85" s="12">
        <f t="shared" ref="H85:H111" si="37">H84+1</f>
        <v>66</v>
      </c>
      <c r="I85" s="21">
        <f t="shared" si="31"/>
        <v>0.5185484379416746</v>
      </c>
      <c r="J85" s="21" t="e">
        <f t="shared" si="32"/>
        <v>#VALUE!</v>
      </c>
      <c r="K85" s="21" t="e">
        <f t="shared" si="33"/>
        <v>#VALUE!</v>
      </c>
      <c r="M85" s="12">
        <f t="shared" ref="M85:M111" si="38">M84+1</f>
        <v>65</v>
      </c>
      <c r="N85" s="14" t="e">
        <f t="shared" si="34"/>
        <v>#VALUE!</v>
      </c>
      <c r="O85" s="14">
        <f t="shared" si="35"/>
        <v>0.52373392232109128</v>
      </c>
      <c r="P85" s="14" t="e">
        <f t="shared" si="36"/>
        <v>#VALUE!</v>
      </c>
    </row>
    <row r="86" spans="1:16" x14ac:dyDescent="0.2">
      <c r="A86" s="29">
        <f t="shared" si="30"/>
        <v>76</v>
      </c>
      <c r="B86" s="96">
        <v>58718</v>
      </c>
      <c r="C86" s="54">
        <f t="shared" si="26"/>
        <v>58718</v>
      </c>
      <c r="D86" s="90">
        <f t="shared" si="27"/>
        <v>0</v>
      </c>
      <c r="E86" s="107">
        <f t="shared" si="28"/>
        <v>2646</v>
      </c>
      <c r="F86" s="93">
        <f t="shared" si="29"/>
        <v>4.5062842739875333E-2</v>
      </c>
      <c r="H86" s="12">
        <f t="shared" si="37"/>
        <v>67</v>
      </c>
      <c r="I86" s="21">
        <f t="shared" si="31"/>
        <v>0.51341429499175695</v>
      </c>
      <c r="J86" s="21" t="e">
        <f t="shared" si="32"/>
        <v>#VALUE!</v>
      </c>
      <c r="K86" s="21" t="e">
        <f t="shared" si="33"/>
        <v>#VALUE!</v>
      </c>
      <c r="M86" s="12">
        <f t="shared" si="38"/>
        <v>66</v>
      </c>
      <c r="N86" s="14" t="e">
        <f t="shared" si="34"/>
        <v>#VALUE!</v>
      </c>
      <c r="O86" s="14">
        <f t="shared" si="35"/>
        <v>0.5185484379416746</v>
      </c>
      <c r="P86" s="14" t="e">
        <f t="shared" si="36"/>
        <v>#VALUE!</v>
      </c>
    </row>
    <row r="87" spans="1:16" x14ac:dyDescent="0.2">
      <c r="A87" s="29">
        <f t="shared" si="30"/>
        <v>77</v>
      </c>
      <c r="B87" s="96">
        <v>56072</v>
      </c>
      <c r="C87" s="54">
        <f t="shared" si="26"/>
        <v>56072</v>
      </c>
      <c r="D87" s="90">
        <f t="shared" si="27"/>
        <v>0</v>
      </c>
      <c r="E87" s="107">
        <f t="shared" si="28"/>
        <v>2769</v>
      </c>
      <c r="F87" s="93">
        <f t="shared" si="29"/>
        <v>4.9382936224853763E-2</v>
      </c>
      <c r="H87" s="12">
        <f t="shared" si="37"/>
        <v>68</v>
      </c>
      <c r="I87" s="21">
        <f t="shared" si="31"/>
        <v>0.50833098514035346</v>
      </c>
      <c r="J87" s="21" t="e">
        <f t="shared" si="32"/>
        <v>#VALUE!</v>
      </c>
      <c r="K87" s="21" t="e">
        <f t="shared" si="33"/>
        <v>#VALUE!</v>
      </c>
      <c r="M87" s="12">
        <f t="shared" si="38"/>
        <v>67</v>
      </c>
      <c r="N87" s="14" t="e">
        <f t="shared" si="34"/>
        <v>#VALUE!</v>
      </c>
      <c r="O87" s="14">
        <f t="shared" si="35"/>
        <v>0.51341429499175695</v>
      </c>
      <c r="P87" s="14" t="e">
        <f t="shared" si="36"/>
        <v>#VALUE!</v>
      </c>
    </row>
    <row r="88" spans="1:16" x14ac:dyDescent="0.2">
      <c r="A88" s="29">
        <f t="shared" si="30"/>
        <v>78</v>
      </c>
      <c r="B88" s="96">
        <v>53303</v>
      </c>
      <c r="C88" s="54">
        <f t="shared" si="26"/>
        <v>53303</v>
      </c>
      <c r="D88" s="90">
        <f t="shared" si="27"/>
        <v>0</v>
      </c>
      <c r="E88" s="107">
        <f t="shared" si="28"/>
        <v>2892</v>
      </c>
      <c r="F88" s="93">
        <f t="shared" si="29"/>
        <v>5.4255858019248447E-2</v>
      </c>
      <c r="H88" s="12">
        <f t="shared" si="37"/>
        <v>69</v>
      </c>
      <c r="I88" s="21">
        <f t="shared" si="31"/>
        <v>0.50329800508945888</v>
      </c>
      <c r="J88" s="21" t="e">
        <f t="shared" si="32"/>
        <v>#VALUE!</v>
      </c>
      <c r="K88" s="21" t="e">
        <f t="shared" si="33"/>
        <v>#VALUE!</v>
      </c>
      <c r="M88" s="12">
        <f t="shared" si="38"/>
        <v>68</v>
      </c>
      <c r="N88" s="14" t="e">
        <f t="shared" si="34"/>
        <v>#VALUE!</v>
      </c>
      <c r="O88" s="14">
        <f t="shared" si="35"/>
        <v>0.50833098514035346</v>
      </c>
      <c r="P88" s="14" t="e">
        <f t="shared" si="36"/>
        <v>#VALUE!</v>
      </c>
    </row>
    <row r="89" spans="1:16" x14ac:dyDescent="0.2">
      <c r="A89" s="29">
        <f t="shared" si="30"/>
        <v>79</v>
      </c>
      <c r="B89" s="96">
        <v>50411</v>
      </c>
      <c r="C89" s="54">
        <f t="shared" si="26"/>
        <v>50411</v>
      </c>
      <c r="D89" s="90">
        <f t="shared" si="27"/>
        <v>0</v>
      </c>
      <c r="E89" s="107">
        <f t="shared" si="28"/>
        <v>3021</v>
      </c>
      <c r="F89" s="93">
        <f t="shared" si="29"/>
        <v>5.9927396798317829E-2</v>
      </c>
      <c r="H89" s="12">
        <f t="shared" si="37"/>
        <v>70</v>
      </c>
      <c r="I89" s="21">
        <f t="shared" si="31"/>
        <v>0.49831485652421659</v>
      </c>
      <c r="J89" s="21" t="e">
        <f t="shared" si="32"/>
        <v>#VALUE!</v>
      </c>
      <c r="K89" s="21" t="e">
        <f t="shared" si="33"/>
        <v>#VALUE!</v>
      </c>
      <c r="M89" s="12">
        <f t="shared" si="38"/>
        <v>69</v>
      </c>
      <c r="N89" s="14" t="e">
        <f t="shared" si="34"/>
        <v>#VALUE!</v>
      </c>
      <c r="O89" s="14">
        <f t="shared" si="35"/>
        <v>0.50329800508945888</v>
      </c>
      <c r="P89" s="14" t="e">
        <f t="shared" si="36"/>
        <v>#VALUE!</v>
      </c>
    </row>
    <row r="90" spans="1:16" x14ac:dyDescent="0.2">
      <c r="A90" s="29">
        <f t="shared" si="30"/>
        <v>80</v>
      </c>
      <c r="B90" s="96">
        <v>47390</v>
      </c>
      <c r="C90" s="54">
        <f t="shared" si="26"/>
        <v>47390</v>
      </c>
      <c r="D90" s="90">
        <f t="shared" si="27"/>
        <v>0</v>
      </c>
      <c r="E90" s="107">
        <f t="shared" si="28"/>
        <v>3156</v>
      </c>
      <c r="F90" s="93">
        <f t="shared" si="29"/>
        <v>6.6596328339312089E-2</v>
      </c>
      <c r="H90" s="12">
        <f t="shared" si="37"/>
        <v>71</v>
      </c>
      <c r="I90" s="21">
        <f t="shared" si="31"/>
        <v>0.4933810460635808</v>
      </c>
      <c r="J90" s="21" t="e">
        <f t="shared" si="32"/>
        <v>#VALUE!</v>
      </c>
      <c r="K90" s="21" t="e">
        <f t="shared" si="33"/>
        <v>#VALUE!</v>
      </c>
      <c r="M90" s="12">
        <f t="shared" si="38"/>
        <v>70</v>
      </c>
      <c r="N90" s="14" t="e">
        <f t="shared" si="34"/>
        <v>#VALUE!</v>
      </c>
      <c r="O90" s="14">
        <f t="shared" si="35"/>
        <v>0.49831485652421659</v>
      </c>
      <c r="P90" s="14" t="e">
        <f t="shared" si="36"/>
        <v>#VALUE!</v>
      </c>
    </row>
    <row r="91" spans="1:16" x14ac:dyDescent="0.2">
      <c r="A91" s="29">
        <f t="shared" si="30"/>
        <v>81</v>
      </c>
      <c r="B91" s="96">
        <v>44234</v>
      </c>
      <c r="C91" s="54">
        <f t="shared" si="26"/>
        <v>44234</v>
      </c>
      <c r="D91" s="90">
        <f t="shared" si="27"/>
        <v>0</v>
      </c>
      <c r="E91" s="107">
        <f t="shared" si="28"/>
        <v>3288</v>
      </c>
      <c r="F91" s="93">
        <f t="shared" si="29"/>
        <v>7.4331961839309124E-2</v>
      </c>
      <c r="H91" s="12">
        <f t="shared" si="37"/>
        <v>72</v>
      </c>
      <c r="I91" s="21">
        <f t="shared" si="31"/>
        <v>0.4884960852114662</v>
      </c>
      <c r="J91" s="21" t="e">
        <f t="shared" si="32"/>
        <v>#VALUE!</v>
      </c>
      <c r="K91" s="21" t="e">
        <f t="shared" si="33"/>
        <v>#VALUE!</v>
      </c>
      <c r="M91" s="12">
        <f t="shared" si="38"/>
        <v>71</v>
      </c>
      <c r="N91" s="14" t="e">
        <f t="shared" si="34"/>
        <v>#VALUE!</v>
      </c>
      <c r="O91" s="14">
        <f t="shared" si="35"/>
        <v>0.4933810460635808</v>
      </c>
      <c r="P91" s="14" t="e">
        <f t="shared" si="36"/>
        <v>#VALUE!</v>
      </c>
    </row>
    <row r="92" spans="1:16" x14ac:dyDescent="0.2">
      <c r="A92" s="29">
        <f t="shared" si="30"/>
        <v>82</v>
      </c>
      <c r="B92" s="96">
        <v>40946</v>
      </c>
      <c r="C92" s="54">
        <f t="shared" si="26"/>
        <v>40946</v>
      </c>
      <c r="D92" s="90">
        <f t="shared" si="27"/>
        <v>0</v>
      </c>
      <c r="E92" s="107">
        <f t="shared" si="28"/>
        <v>3400</v>
      </c>
      <c r="F92" s="93">
        <f t="shared" si="29"/>
        <v>8.303619401162507E-2</v>
      </c>
      <c r="H92" s="12">
        <f t="shared" si="37"/>
        <v>73</v>
      </c>
      <c r="I92" s="21">
        <f t="shared" si="31"/>
        <v>0.48365949030838234</v>
      </c>
      <c r="J92" s="21" t="e">
        <f t="shared" si="32"/>
        <v>#VALUE!</v>
      </c>
      <c r="K92" s="21" t="e">
        <f t="shared" si="33"/>
        <v>#VALUE!</v>
      </c>
      <c r="M92" s="12">
        <f t="shared" si="38"/>
        <v>72</v>
      </c>
      <c r="N92" s="14" t="e">
        <f t="shared" si="34"/>
        <v>#VALUE!</v>
      </c>
      <c r="O92" s="14">
        <f t="shared" si="35"/>
        <v>0.4884960852114662</v>
      </c>
      <c r="P92" s="14" t="e">
        <f t="shared" si="36"/>
        <v>#VALUE!</v>
      </c>
    </row>
    <row r="93" spans="1:16" x14ac:dyDescent="0.2">
      <c r="A93" s="29">
        <f t="shared" si="30"/>
        <v>83</v>
      </c>
      <c r="B93" s="96">
        <v>37546</v>
      </c>
      <c r="C93" s="54">
        <f t="shared" si="26"/>
        <v>37546</v>
      </c>
      <c r="D93" s="90">
        <f t="shared" si="27"/>
        <v>0</v>
      </c>
      <c r="E93" s="107">
        <f t="shared" si="28"/>
        <v>3474</v>
      </c>
      <c r="F93" s="93">
        <f t="shared" si="29"/>
        <v>9.2526500825653862E-2</v>
      </c>
      <c r="H93" s="12">
        <f t="shared" si="37"/>
        <v>74</v>
      </c>
      <c r="I93" s="21">
        <f t="shared" si="31"/>
        <v>0.47887078248354686</v>
      </c>
      <c r="J93" s="21" t="e">
        <f t="shared" si="32"/>
        <v>#VALUE!</v>
      </c>
      <c r="K93" s="21" t="e">
        <f t="shared" si="33"/>
        <v>#VALUE!</v>
      </c>
      <c r="M93" s="12">
        <f t="shared" si="38"/>
        <v>73</v>
      </c>
      <c r="N93" s="14" t="e">
        <f t="shared" si="34"/>
        <v>#VALUE!</v>
      </c>
      <c r="O93" s="14">
        <f t="shared" si="35"/>
        <v>0.48365949030838234</v>
      </c>
      <c r="P93" s="14" t="e">
        <f t="shared" si="36"/>
        <v>#VALUE!</v>
      </c>
    </row>
    <row r="94" spans="1:16" x14ac:dyDescent="0.2">
      <c r="A94" s="29">
        <f t="shared" si="30"/>
        <v>84</v>
      </c>
      <c r="B94" s="96">
        <v>34072</v>
      </c>
      <c r="C94" s="54">
        <f t="shared" si="26"/>
        <v>34072</v>
      </c>
      <c r="D94" s="90">
        <f t="shared" si="27"/>
        <v>0</v>
      </c>
      <c r="E94" s="107">
        <f t="shared" si="28"/>
        <v>3497</v>
      </c>
      <c r="F94" s="93">
        <f t="shared" si="29"/>
        <v>0.10263559521014323</v>
      </c>
      <c r="H94" s="12">
        <f t="shared" si="37"/>
        <v>75</v>
      </c>
      <c r="I94" s="21">
        <f t="shared" si="31"/>
        <v>0.47412948760747214</v>
      </c>
      <c r="J94" s="21" t="e">
        <f t="shared" si="32"/>
        <v>#VALUE!</v>
      </c>
      <c r="K94" s="21" t="e">
        <f t="shared" si="33"/>
        <v>#VALUE!</v>
      </c>
      <c r="M94" s="12">
        <f t="shared" si="38"/>
        <v>74</v>
      </c>
      <c r="N94" s="14" t="e">
        <f t="shared" si="34"/>
        <v>#VALUE!</v>
      </c>
      <c r="O94" s="14">
        <f t="shared" si="35"/>
        <v>0.47887078248354686</v>
      </c>
      <c r="P94" s="14" t="e">
        <f t="shared" si="36"/>
        <v>#VALUE!</v>
      </c>
    </row>
    <row r="95" spans="1:16" x14ac:dyDescent="0.2">
      <c r="A95" s="29">
        <f t="shared" si="30"/>
        <v>85</v>
      </c>
      <c r="B95" s="96">
        <v>30575</v>
      </c>
      <c r="C95" s="54">
        <f t="shared" si="26"/>
        <v>30575</v>
      </c>
      <c r="D95" s="90">
        <f t="shared" si="27"/>
        <v>0</v>
      </c>
      <c r="E95" s="107">
        <f t="shared" si="28"/>
        <v>3471</v>
      </c>
      <c r="F95" s="93">
        <f t="shared" si="29"/>
        <v>0.11352412101390025</v>
      </c>
      <c r="H95" s="12">
        <f t="shared" si="37"/>
        <v>76</v>
      </c>
      <c r="I95" s="21">
        <f t="shared" si="31"/>
        <v>0.46943513624502187</v>
      </c>
      <c r="J95" s="21" t="e">
        <f t="shared" si="32"/>
        <v>#VALUE!</v>
      </c>
      <c r="K95" s="21" t="e">
        <f t="shared" si="33"/>
        <v>#VALUE!</v>
      </c>
      <c r="M95" s="12">
        <f t="shared" si="38"/>
        <v>75</v>
      </c>
      <c r="N95" s="14" t="e">
        <f t="shared" si="34"/>
        <v>#VALUE!</v>
      </c>
      <c r="O95" s="14">
        <f t="shared" si="35"/>
        <v>0.47412948760747214</v>
      </c>
      <c r="P95" s="14" t="e">
        <f t="shared" si="36"/>
        <v>#VALUE!</v>
      </c>
    </row>
    <row r="96" spans="1:16" x14ac:dyDescent="0.2">
      <c r="A96" s="29">
        <f t="shared" si="30"/>
        <v>86</v>
      </c>
      <c r="B96" s="96">
        <v>27104</v>
      </c>
      <c r="C96" s="54">
        <f t="shared" si="26"/>
        <v>27104</v>
      </c>
      <c r="D96" s="90">
        <f t="shared" si="27"/>
        <v>0</v>
      </c>
      <c r="E96" s="107">
        <f t="shared" si="28"/>
        <v>3397</v>
      </c>
      <c r="F96" s="93">
        <f t="shared" si="29"/>
        <v>0.12533205430932703</v>
      </c>
      <c r="H96" s="12">
        <f t="shared" si="37"/>
        <v>77</v>
      </c>
      <c r="I96" s="21">
        <f t="shared" si="31"/>
        <v>0.46478726360893258</v>
      </c>
      <c r="J96" s="21" t="e">
        <f t="shared" si="32"/>
        <v>#VALUE!</v>
      </c>
      <c r="K96" s="21" t="e">
        <f t="shared" si="33"/>
        <v>#VALUE!</v>
      </c>
      <c r="M96" s="12">
        <f t="shared" si="38"/>
        <v>76</v>
      </c>
      <c r="N96" s="14" t="e">
        <f t="shared" si="34"/>
        <v>#VALUE!</v>
      </c>
      <c r="O96" s="14">
        <f t="shared" si="35"/>
        <v>0.46943513624502187</v>
      </c>
      <c r="P96" s="14" t="e">
        <f t="shared" si="36"/>
        <v>#VALUE!</v>
      </c>
    </row>
    <row r="97" spans="1:16" x14ac:dyDescent="0.2">
      <c r="A97" s="29">
        <f t="shared" si="30"/>
        <v>87</v>
      </c>
      <c r="B97" s="96">
        <v>23707</v>
      </c>
      <c r="C97" s="54">
        <f t="shared" si="26"/>
        <v>23707</v>
      </c>
      <c r="D97" s="90">
        <f t="shared" si="27"/>
        <v>0</v>
      </c>
      <c r="E97" s="107">
        <f t="shared" si="28"/>
        <v>3272</v>
      </c>
      <c r="F97" s="93">
        <f t="shared" si="29"/>
        <v>0.13801830682920657</v>
      </c>
      <c r="H97" s="12">
        <f t="shared" si="37"/>
        <v>78</v>
      </c>
      <c r="I97" s="21">
        <f t="shared" si="31"/>
        <v>0.46018540951379466</v>
      </c>
      <c r="J97" s="21" t="e">
        <f t="shared" si="32"/>
        <v>#VALUE!</v>
      </c>
      <c r="K97" s="21" t="e">
        <f t="shared" si="33"/>
        <v>#VALUE!</v>
      </c>
      <c r="M97" s="12">
        <f t="shared" si="38"/>
        <v>77</v>
      </c>
      <c r="N97" s="14" t="e">
        <f t="shared" si="34"/>
        <v>#VALUE!</v>
      </c>
      <c r="O97" s="14">
        <f t="shared" si="35"/>
        <v>0.46478726360893258</v>
      </c>
      <c r="P97" s="14" t="e">
        <f t="shared" si="36"/>
        <v>#VALUE!</v>
      </c>
    </row>
    <row r="98" spans="1:16" x14ac:dyDescent="0.2">
      <c r="A98" s="29">
        <f t="shared" si="30"/>
        <v>88</v>
      </c>
      <c r="B98" s="96">
        <v>20435</v>
      </c>
      <c r="C98" s="54">
        <f t="shared" si="26"/>
        <v>20435</v>
      </c>
      <c r="D98" s="90">
        <f t="shared" si="27"/>
        <v>0</v>
      </c>
      <c r="E98" s="107">
        <f t="shared" si="28"/>
        <v>3097</v>
      </c>
      <c r="F98" s="93">
        <f t="shared" si="29"/>
        <v>0.15155370687545877</v>
      </c>
      <c r="H98" s="12">
        <f t="shared" si="37"/>
        <v>79</v>
      </c>
      <c r="I98" s="21">
        <f t="shared" si="31"/>
        <v>0.4556291183304898</v>
      </c>
      <c r="J98" s="21" t="e">
        <f t="shared" si="32"/>
        <v>#VALUE!</v>
      </c>
      <c r="K98" s="21" t="e">
        <f t="shared" si="33"/>
        <v>#VALUE!</v>
      </c>
      <c r="M98" s="12">
        <f t="shared" si="38"/>
        <v>78</v>
      </c>
      <c r="N98" s="14" t="e">
        <f t="shared" si="34"/>
        <v>#VALUE!</v>
      </c>
      <c r="O98" s="14">
        <f t="shared" si="35"/>
        <v>0.46018540951379466</v>
      </c>
      <c r="P98" s="14" t="e">
        <f t="shared" si="36"/>
        <v>#VALUE!</v>
      </c>
    </row>
    <row r="99" spans="1:16" x14ac:dyDescent="0.2">
      <c r="A99" s="29">
        <f t="shared" si="30"/>
        <v>89</v>
      </c>
      <c r="B99" s="96">
        <v>17338</v>
      </c>
      <c r="C99" s="54">
        <f t="shared" si="26"/>
        <v>17338</v>
      </c>
      <c r="D99" s="90">
        <f t="shared" si="27"/>
        <v>0</v>
      </c>
      <c r="E99" s="107">
        <f t="shared" si="28"/>
        <v>2874</v>
      </c>
      <c r="F99" s="93">
        <f t="shared" si="29"/>
        <v>0.16576306379051794</v>
      </c>
      <c r="H99" s="12">
        <f t="shared" si="37"/>
        <v>80</v>
      </c>
      <c r="I99" s="21">
        <f t="shared" si="31"/>
        <v>0.45111793894107893</v>
      </c>
      <c r="J99" s="21" t="e">
        <f t="shared" si="32"/>
        <v>#VALUE!</v>
      </c>
      <c r="K99" s="21" t="e">
        <f t="shared" si="33"/>
        <v>#VALUE!</v>
      </c>
      <c r="M99" s="12">
        <f t="shared" si="38"/>
        <v>79</v>
      </c>
      <c r="N99" s="14" t="e">
        <f t="shared" si="34"/>
        <v>#VALUE!</v>
      </c>
      <c r="O99" s="14">
        <f t="shared" si="35"/>
        <v>0.4556291183304898</v>
      </c>
      <c r="P99" s="14" t="e">
        <f t="shared" si="36"/>
        <v>#VALUE!</v>
      </c>
    </row>
    <row r="100" spans="1:16" x14ac:dyDescent="0.2">
      <c r="A100" s="29">
        <f t="shared" si="30"/>
        <v>90</v>
      </c>
      <c r="B100" s="96">
        <v>14464</v>
      </c>
      <c r="C100" s="54">
        <f t="shared" si="26"/>
        <v>14464</v>
      </c>
      <c r="D100" s="90">
        <f t="shared" si="27"/>
        <v>0</v>
      </c>
      <c r="E100" s="107">
        <f t="shared" si="28"/>
        <v>2612</v>
      </c>
      <c r="F100" s="93">
        <f t="shared" si="29"/>
        <v>0.18058628318584072</v>
      </c>
      <c r="H100" s="12">
        <f t="shared" si="37"/>
        <v>81</v>
      </c>
      <c r="I100" s="21">
        <f t="shared" si="31"/>
        <v>0.44665142469413754</v>
      </c>
      <c r="J100" s="21" t="e">
        <f t="shared" si="32"/>
        <v>#VALUE!</v>
      </c>
      <c r="K100" s="21" t="e">
        <f t="shared" si="33"/>
        <v>#VALUE!</v>
      </c>
      <c r="M100" s="12">
        <f t="shared" si="38"/>
        <v>80</v>
      </c>
      <c r="N100" s="14" t="e">
        <f t="shared" si="34"/>
        <v>#VALUE!</v>
      </c>
      <c r="O100" s="14">
        <f t="shared" si="35"/>
        <v>0.45111793894107893</v>
      </c>
      <c r="P100" s="14" t="e">
        <f t="shared" si="36"/>
        <v>#VALUE!</v>
      </c>
    </row>
    <row r="101" spans="1:16" x14ac:dyDescent="0.2">
      <c r="A101" s="29">
        <f t="shared" si="30"/>
        <v>91</v>
      </c>
      <c r="B101" s="96">
        <v>11852</v>
      </c>
      <c r="C101" s="54">
        <f t="shared" si="26"/>
        <v>11852</v>
      </c>
      <c r="D101" s="90">
        <f t="shared" si="27"/>
        <v>0</v>
      </c>
      <c r="E101" s="107">
        <f t="shared" si="28"/>
        <v>2326</v>
      </c>
      <c r="F101" s="93">
        <f t="shared" si="29"/>
        <v>0.19625379682753966</v>
      </c>
      <c r="H101" s="12">
        <f t="shared" si="37"/>
        <v>82</v>
      </c>
      <c r="I101" s="21">
        <f t="shared" si="31"/>
        <v>0.44222913336053221</v>
      </c>
      <c r="J101" s="21" t="e">
        <f t="shared" si="32"/>
        <v>#VALUE!</v>
      </c>
      <c r="K101" s="21" t="e">
        <f t="shared" si="33"/>
        <v>#VALUE!</v>
      </c>
      <c r="M101" s="12">
        <f t="shared" si="38"/>
        <v>81</v>
      </c>
      <c r="N101" s="14" t="e">
        <f t="shared" si="34"/>
        <v>#VALUE!</v>
      </c>
      <c r="O101" s="14">
        <f t="shared" si="35"/>
        <v>0.44665142469413754</v>
      </c>
      <c r="P101" s="14" t="e">
        <f t="shared" si="36"/>
        <v>#VALUE!</v>
      </c>
    </row>
    <row r="102" spans="1:16" x14ac:dyDescent="0.2">
      <c r="A102" s="29">
        <f t="shared" si="30"/>
        <v>92</v>
      </c>
      <c r="B102" s="96">
        <v>9526</v>
      </c>
      <c r="C102" s="54">
        <f t="shared" si="26"/>
        <v>9526</v>
      </c>
      <c r="D102" s="90">
        <f t="shared" si="27"/>
        <v>0</v>
      </c>
      <c r="E102" s="107">
        <f t="shared" si="28"/>
        <v>2028</v>
      </c>
      <c r="F102" s="93">
        <f t="shared" si="29"/>
        <v>0.21289103506193577</v>
      </c>
      <c r="H102" s="12">
        <f t="shared" si="37"/>
        <v>83</v>
      </c>
      <c r="I102" s="21">
        <f t="shared" si="31"/>
        <v>0.4378506270896359</v>
      </c>
      <c r="J102" s="21" t="e">
        <f t="shared" si="32"/>
        <v>#VALUE!</v>
      </c>
      <c r="K102" s="21" t="e">
        <f t="shared" si="33"/>
        <v>#VALUE!</v>
      </c>
      <c r="M102" s="12">
        <f t="shared" si="38"/>
        <v>82</v>
      </c>
      <c r="N102" s="14" t="e">
        <f t="shared" si="34"/>
        <v>#VALUE!</v>
      </c>
      <c r="O102" s="14">
        <f t="shared" si="35"/>
        <v>0.44222913336053221</v>
      </c>
      <c r="P102" s="14" t="e">
        <f t="shared" si="36"/>
        <v>#VALUE!</v>
      </c>
    </row>
    <row r="103" spans="1:16" x14ac:dyDescent="0.2">
      <c r="A103" s="29">
        <f t="shared" si="30"/>
        <v>93</v>
      </c>
      <c r="B103" s="96">
        <v>7498</v>
      </c>
      <c r="C103" s="54">
        <f t="shared" si="26"/>
        <v>7498</v>
      </c>
      <c r="D103" s="90">
        <f t="shared" si="27"/>
        <v>0</v>
      </c>
      <c r="E103" s="107">
        <f t="shared" si="28"/>
        <v>1729</v>
      </c>
      <c r="F103" s="93">
        <f t="shared" si="29"/>
        <v>0.23059482528674313</v>
      </c>
      <c r="H103" s="12">
        <f t="shared" si="37"/>
        <v>84</v>
      </c>
      <c r="I103" s="21">
        <f t="shared" si="31"/>
        <v>0.4335154723659761</v>
      </c>
      <c r="J103" s="21" t="e">
        <f t="shared" si="32"/>
        <v>#VALUE!</v>
      </c>
      <c r="K103" s="21" t="e">
        <f t="shared" si="33"/>
        <v>#VALUE!</v>
      </c>
      <c r="M103" s="12">
        <f t="shared" si="38"/>
        <v>83</v>
      </c>
      <c r="N103" s="14" t="e">
        <f t="shared" si="34"/>
        <v>#VALUE!</v>
      </c>
      <c r="O103" s="14">
        <f t="shared" si="35"/>
        <v>0.4378506270896359</v>
      </c>
      <c r="P103" s="14" t="e">
        <f t="shared" si="36"/>
        <v>#VALUE!</v>
      </c>
    </row>
    <row r="104" spans="1:16" x14ac:dyDescent="0.2">
      <c r="A104" s="29">
        <f t="shared" si="30"/>
        <v>94</v>
      </c>
      <c r="B104" s="96">
        <v>5769</v>
      </c>
      <c r="C104" s="54">
        <f t="shared" si="26"/>
        <v>5769</v>
      </c>
      <c r="D104" s="90">
        <f t="shared" si="27"/>
        <v>0</v>
      </c>
      <c r="E104" s="107">
        <f t="shared" si="28"/>
        <v>1438</v>
      </c>
      <c r="F104" s="93">
        <f t="shared" si="29"/>
        <v>0.24926330386548795</v>
      </c>
      <c r="H104" s="12">
        <f t="shared" si="37"/>
        <v>85</v>
      </c>
      <c r="I104" s="21">
        <f t="shared" si="31"/>
        <v>0.42922323996631301</v>
      </c>
      <c r="J104" s="21" t="e">
        <f t="shared" si="32"/>
        <v>#VALUE!</v>
      </c>
      <c r="K104" s="21" t="e">
        <f t="shared" si="33"/>
        <v>#VALUE!</v>
      </c>
      <c r="M104" s="12">
        <f t="shared" si="38"/>
        <v>84</v>
      </c>
      <c r="N104" s="14" t="e">
        <f t="shared" si="34"/>
        <v>#VALUE!</v>
      </c>
      <c r="O104" s="14">
        <f t="shared" si="35"/>
        <v>0.4335154723659761</v>
      </c>
      <c r="P104" s="14" t="e">
        <f t="shared" si="36"/>
        <v>#VALUE!</v>
      </c>
    </row>
    <row r="105" spans="1:16" x14ac:dyDescent="0.2">
      <c r="A105" s="29">
        <f t="shared" si="30"/>
        <v>95</v>
      </c>
      <c r="B105" s="96">
        <v>4331</v>
      </c>
      <c r="C105" s="54">
        <f t="shared" si="26"/>
        <v>4331</v>
      </c>
      <c r="D105" s="90">
        <f t="shared" si="27"/>
        <v>0</v>
      </c>
      <c r="E105" s="107">
        <f t="shared" si="28"/>
        <v>1165</v>
      </c>
      <c r="F105" s="93">
        <f t="shared" si="29"/>
        <v>0.26899099515123526</v>
      </c>
      <c r="H105" s="12">
        <f t="shared" si="37"/>
        <v>86</v>
      </c>
      <c r="I105" s="21">
        <f t="shared" si="31"/>
        <v>0.42497350491714153</v>
      </c>
      <c r="J105" s="21" t="e">
        <f t="shared" si="32"/>
        <v>#VALUE!</v>
      </c>
      <c r="K105" s="21" t="e">
        <f t="shared" si="33"/>
        <v>#VALUE!</v>
      </c>
      <c r="M105" s="12">
        <f t="shared" si="38"/>
        <v>85</v>
      </c>
      <c r="N105" s="14" t="e">
        <f t="shared" si="34"/>
        <v>#VALUE!</v>
      </c>
      <c r="O105" s="14">
        <f t="shared" si="35"/>
        <v>0.42922323996631301</v>
      </c>
      <c r="P105" s="14" t="e">
        <f t="shared" si="36"/>
        <v>#VALUE!</v>
      </c>
    </row>
    <row r="106" spans="1:16" x14ac:dyDescent="0.2">
      <c r="A106" s="29">
        <f t="shared" si="30"/>
        <v>96</v>
      </c>
      <c r="B106" s="96">
        <v>3166</v>
      </c>
      <c r="C106" s="54">
        <f t="shared" ref="C106:C120" si="39">lx(A106)</f>
        <v>3166</v>
      </c>
      <c r="D106" s="90">
        <f t="shared" ref="D106:D137" si="40">(B106&lt;&gt;C106)*1</f>
        <v>0</v>
      </c>
      <c r="E106" s="107">
        <f t="shared" ref="E106:E119" si="41">dx(A106)</f>
        <v>917</v>
      </c>
      <c r="F106" s="93">
        <f t="shared" ref="F106:F119" si="42">qx(A106)</f>
        <v>0.2896399241945673</v>
      </c>
      <c r="H106" s="12">
        <f t="shared" si="37"/>
        <v>87</v>
      </c>
      <c r="I106" s="21">
        <f t="shared" si="31"/>
        <v>0.42076584645261539</v>
      </c>
      <c r="J106" s="21" t="e">
        <f t="shared" si="32"/>
        <v>#VALUE!</v>
      </c>
      <c r="K106" s="21" t="e">
        <f t="shared" si="33"/>
        <v>#VALUE!</v>
      </c>
      <c r="M106" s="12">
        <f t="shared" si="38"/>
        <v>86</v>
      </c>
      <c r="N106" s="14" t="e">
        <f t="shared" si="34"/>
        <v>#VALUE!</v>
      </c>
      <c r="O106" s="14">
        <f t="shared" si="35"/>
        <v>0.42497350491714153</v>
      </c>
      <c r="P106" s="14" t="e">
        <f t="shared" si="36"/>
        <v>#VALUE!</v>
      </c>
    </row>
    <row r="107" spans="1:16" x14ac:dyDescent="0.2">
      <c r="A107" s="29">
        <f t="shared" ref="A107:A120" si="43">A106+1</f>
        <v>97</v>
      </c>
      <c r="B107" s="96">
        <v>2249</v>
      </c>
      <c r="C107" s="54">
        <f t="shared" si="39"/>
        <v>2249</v>
      </c>
      <c r="D107" s="90">
        <f t="shared" si="40"/>
        <v>0</v>
      </c>
      <c r="E107" s="107">
        <f t="shared" si="41"/>
        <v>700</v>
      </c>
      <c r="F107" s="93">
        <f t="shared" si="42"/>
        <v>0.31124944419742107</v>
      </c>
      <c r="H107" s="12">
        <f t="shared" si="37"/>
        <v>88</v>
      </c>
      <c r="I107" s="21">
        <f t="shared" si="31"/>
        <v>0.41659984797288657</v>
      </c>
      <c r="J107" s="21" t="e">
        <f t="shared" si="32"/>
        <v>#VALUE!</v>
      </c>
      <c r="K107" s="21" t="e">
        <f t="shared" si="33"/>
        <v>#VALUE!</v>
      </c>
      <c r="M107" s="12">
        <f t="shared" si="38"/>
        <v>87</v>
      </c>
      <c r="N107" s="14" t="e">
        <f t="shared" si="34"/>
        <v>#VALUE!</v>
      </c>
      <c r="O107" s="14">
        <f t="shared" si="35"/>
        <v>0.42076584645261539</v>
      </c>
      <c r="P107" s="14" t="e">
        <f t="shared" si="36"/>
        <v>#VALUE!</v>
      </c>
    </row>
    <row r="108" spans="1:16" x14ac:dyDescent="0.2">
      <c r="A108" s="29">
        <f t="shared" si="43"/>
        <v>98</v>
      </c>
      <c r="B108" s="96">
        <v>1549</v>
      </c>
      <c r="C108" s="54">
        <f t="shared" si="39"/>
        <v>1549</v>
      </c>
      <c r="D108" s="90">
        <f t="shared" si="40"/>
        <v>0</v>
      </c>
      <c r="E108" s="107">
        <f t="shared" si="41"/>
        <v>517</v>
      </c>
      <c r="F108" s="93">
        <f t="shared" si="42"/>
        <v>0.33376371852808262</v>
      </c>
      <c r="H108" s="12">
        <f t="shared" si="37"/>
        <v>89</v>
      </c>
      <c r="I108" s="21">
        <f t="shared" si="31"/>
        <v>0.41247509700285795</v>
      </c>
      <c r="J108" s="21" t="e">
        <f t="shared" si="32"/>
        <v>#VALUE!</v>
      </c>
      <c r="K108" s="21" t="e">
        <f t="shared" si="33"/>
        <v>#VALUE!</v>
      </c>
      <c r="M108" s="12">
        <f t="shared" si="38"/>
        <v>88</v>
      </c>
      <c r="N108" s="14" t="e">
        <f t="shared" si="34"/>
        <v>#VALUE!</v>
      </c>
      <c r="O108" s="14">
        <f t="shared" si="35"/>
        <v>0.41659984797288657</v>
      </c>
      <c r="P108" s="14" t="e">
        <f t="shared" si="36"/>
        <v>#VALUE!</v>
      </c>
    </row>
    <row r="109" spans="1:16" x14ac:dyDescent="0.2">
      <c r="A109" s="29">
        <f t="shared" si="43"/>
        <v>99</v>
      </c>
      <c r="B109" s="96">
        <v>1032</v>
      </c>
      <c r="C109" s="54">
        <f t="shared" si="39"/>
        <v>1032</v>
      </c>
      <c r="D109" s="90">
        <f t="shared" si="40"/>
        <v>0</v>
      </c>
      <c r="E109" s="107">
        <f t="shared" si="41"/>
        <v>369</v>
      </c>
      <c r="F109" s="93">
        <f t="shared" si="42"/>
        <v>0.35755813953488375</v>
      </c>
      <c r="H109" s="12">
        <f t="shared" si="37"/>
        <v>90</v>
      </c>
      <c r="I109" s="21">
        <f t="shared" si="31"/>
        <v>0.40839118515134454</v>
      </c>
      <c r="J109" s="21" t="e">
        <f t="shared" si="32"/>
        <v>#VALUE!</v>
      </c>
      <c r="K109" s="21" t="e">
        <f t="shared" si="33"/>
        <v>#VALUE!</v>
      </c>
      <c r="M109" s="12">
        <f t="shared" si="38"/>
        <v>89</v>
      </c>
      <c r="N109" s="14" t="e">
        <f t="shared" si="34"/>
        <v>#VALUE!</v>
      </c>
      <c r="O109" s="14">
        <f t="shared" si="35"/>
        <v>0.41247509700285795</v>
      </c>
      <c r="P109" s="14" t="e">
        <f t="shared" si="36"/>
        <v>#VALUE!</v>
      </c>
    </row>
    <row r="110" spans="1:16" x14ac:dyDescent="0.2">
      <c r="A110" s="29">
        <f t="shared" si="43"/>
        <v>100</v>
      </c>
      <c r="B110" s="96">
        <v>663</v>
      </c>
      <c r="C110" s="54">
        <f t="shared" si="39"/>
        <v>663</v>
      </c>
      <c r="D110" s="90">
        <f t="shared" si="40"/>
        <v>0</v>
      </c>
      <c r="E110" s="107">
        <f t="shared" si="41"/>
        <v>253</v>
      </c>
      <c r="F110" s="93">
        <f t="shared" si="42"/>
        <v>0.38159879336349922</v>
      </c>
      <c r="H110" s="12">
        <f t="shared" si="37"/>
        <v>91</v>
      </c>
      <c r="I110" s="21">
        <f t="shared" si="31"/>
        <v>0.40434770807063813</v>
      </c>
      <c r="J110" s="21" t="e">
        <f t="shared" si="32"/>
        <v>#VALUE!</v>
      </c>
      <c r="K110" s="21" t="e">
        <f t="shared" si="33"/>
        <v>#VALUE!</v>
      </c>
      <c r="M110" s="12">
        <f t="shared" si="38"/>
        <v>90</v>
      </c>
      <c r="N110" s="14" t="e">
        <f t="shared" si="34"/>
        <v>#VALUE!</v>
      </c>
      <c r="O110" s="14">
        <f t="shared" si="35"/>
        <v>0.40839118515134454</v>
      </c>
      <c r="P110" s="14" t="e">
        <f t="shared" si="36"/>
        <v>#VALUE!</v>
      </c>
    </row>
    <row r="111" spans="1:16" x14ac:dyDescent="0.2">
      <c r="A111" s="29">
        <f t="shared" si="43"/>
        <v>101</v>
      </c>
      <c r="B111" s="96">
        <v>410</v>
      </c>
      <c r="C111" s="54">
        <f t="shared" si="39"/>
        <v>410</v>
      </c>
      <c r="D111" s="90">
        <f t="shared" si="40"/>
        <v>0</v>
      </c>
      <c r="E111" s="107">
        <f t="shared" si="41"/>
        <v>166</v>
      </c>
      <c r="F111" s="93">
        <f t="shared" si="42"/>
        <v>0.40487804878048783</v>
      </c>
      <c r="H111" s="12">
        <f t="shared" si="37"/>
        <v>92</v>
      </c>
      <c r="I111" s="21">
        <f t="shared" si="31"/>
        <v>0.40034426541647333</v>
      </c>
      <c r="J111" s="21" t="e">
        <f t="shared" si="32"/>
        <v>#VALUE!</v>
      </c>
      <c r="K111" s="21" t="e">
        <f t="shared" si="33"/>
        <v>#VALUE!</v>
      </c>
      <c r="M111" s="12">
        <f t="shared" si="38"/>
        <v>91</v>
      </c>
      <c r="N111" s="14" t="e">
        <f t="shared" si="34"/>
        <v>#VALUE!</v>
      </c>
      <c r="O111" s="14">
        <f t="shared" si="35"/>
        <v>0.40434770807063813</v>
      </c>
      <c r="P111" s="14" t="e">
        <f t="shared" si="36"/>
        <v>#VALUE!</v>
      </c>
    </row>
    <row r="112" spans="1:16" x14ac:dyDescent="0.2">
      <c r="A112" s="29">
        <f t="shared" si="43"/>
        <v>102</v>
      </c>
      <c r="B112" s="96">
        <v>244</v>
      </c>
      <c r="C112" s="54">
        <f t="shared" si="39"/>
        <v>244</v>
      </c>
      <c r="D112" s="90">
        <f t="shared" si="40"/>
        <v>0</v>
      </c>
      <c r="E112" s="107">
        <f t="shared" si="41"/>
        <v>105</v>
      </c>
      <c r="F112" s="93">
        <f t="shared" si="42"/>
        <v>0.43032786885245899</v>
      </c>
    </row>
    <row r="113" spans="1:6" x14ac:dyDescent="0.2">
      <c r="A113" s="29">
        <f t="shared" si="43"/>
        <v>103</v>
      </c>
      <c r="B113" s="96">
        <v>139</v>
      </c>
      <c r="C113" s="54">
        <f t="shared" si="39"/>
        <v>139</v>
      </c>
      <c r="D113" s="90">
        <f t="shared" si="40"/>
        <v>0</v>
      </c>
      <c r="E113" s="107">
        <f t="shared" si="41"/>
        <v>64</v>
      </c>
      <c r="F113" s="93">
        <f t="shared" si="42"/>
        <v>0.46043165467625902</v>
      </c>
    </row>
    <row r="114" spans="1:6" x14ac:dyDescent="0.2">
      <c r="A114" s="29">
        <f t="shared" si="43"/>
        <v>104</v>
      </c>
      <c r="B114" s="96">
        <v>75</v>
      </c>
      <c r="C114" s="54">
        <f t="shared" si="39"/>
        <v>75</v>
      </c>
      <c r="D114" s="90">
        <f t="shared" si="40"/>
        <v>0</v>
      </c>
      <c r="E114" s="107">
        <f t="shared" si="41"/>
        <v>36</v>
      </c>
      <c r="F114" s="93">
        <f t="shared" si="42"/>
        <v>0.48</v>
      </c>
    </row>
    <row r="115" spans="1:6" x14ac:dyDescent="0.2">
      <c r="A115" s="29">
        <f t="shared" si="43"/>
        <v>105</v>
      </c>
      <c r="B115" s="96">
        <v>39</v>
      </c>
      <c r="C115" s="54">
        <f t="shared" si="39"/>
        <v>39</v>
      </c>
      <c r="D115" s="90">
        <f t="shared" si="40"/>
        <v>0</v>
      </c>
      <c r="E115" s="107">
        <f t="shared" si="41"/>
        <v>20</v>
      </c>
      <c r="F115" s="93">
        <f t="shared" si="42"/>
        <v>0.51282051282051277</v>
      </c>
    </row>
    <row r="116" spans="1:6" x14ac:dyDescent="0.2">
      <c r="A116" s="29">
        <f t="shared" si="43"/>
        <v>106</v>
      </c>
      <c r="B116" s="96">
        <v>19</v>
      </c>
      <c r="C116" s="54">
        <f t="shared" si="39"/>
        <v>19</v>
      </c>
      <c r="D116" s="90">
        <f t="shared" si="40"/>
        <v>0</v>
      </c>
      <c r="E116" s="107">
        <f t="shared" si="41"/>
        <v>10</v>
      </c>
      <c r="F116" s="93">
        <f t="shared" si="42"/>
        <v>0.52631578947368418</v>
      </c>
    </row>
    <row r="117" spans="1:6" x14ac:dyDescent="0.2">
      <c r="A117" s="29">
        <f t="shared" si="43"/>
        <v>107</v>
      </c>
      <c r="B117" s="96">
        <v>9</v>
      </c>
      <c r="C117" s="54">
        <f t="shared" si="39"/>
        <v>9</v>
      </c>
      <c r="D117" s="90">
        <f t="shared" si="40"/>
        <v>0</v>
      </c>
      <c r="E117" s="107">
        <f t="shared" si="41"/>
        <v>5</v>
      </c>
      <c r="F117" s="93">
        <f t="shared" si="42"/>
        <v>0.55555555555555558</v>
      </c>
    </row>
    <row r="118" spans="1:6" x14ac:dyDescent="0.2">
      <c r="A118" s="29">
        <f t="shared" si="43"/>
        <v>108</v>
      </c>
      <c r="B118" s="96">
        <v>4</v>
      </c>
      <c r="C118" s="54">
        <f t="shared" si="39"/>
        <v>4</v>
      </c>
      <c r="D118" s="90">
        <f t="shared" si="40"/>
        <v>0</v>
      </c>
      <c r="E118" s="107">
        <f t="shared" si="41"/>
        <v>2</v>
      </c>
      <c r="F118" s="93">
        <f t="shared" si="42"/>
        <v>0.5</v>
      </c>
    </row>
    <row r="119" spans="1:6" x14ac:dyDescent="0.2">
      <c r="A119" s="29">
        <f t="shared" si="43"/>
        <v>109</v>
      </c>
      <c r="B119" s="96">
        <v>2</v>
      </c>
      <c r="C119" s="54">
        <f t="shared" si="39"/>
        <v>2</v>
      </c>
      <c r="D119" s="90">
        <f t="shared" si="40"/>
        <v>0</v>
      </c>
      <c r="E119" s="107">
        <f t="shared" si="41"/>
        <v>1</v>
      </c>
      <c r="F119" s="93">
        <f t="shared" si="42"/>
        <v>0.5</v>
      </c>
    </row>
    <row r="120" spans="1:6" ht="13.5" thickBot="1" x14ac:dyDescent="0.25">
      <c r="A120" s="95">
        <f t="shared" si="43"/>
        <v>110</v>
      </c>
      <c r="B120" s="97">
        <v>1</v>
      </c>
      <c r="C120" s="55">
        <f t="shared" si="39"/>
        <v>1</v>
      </c>
      <c r="D120" s="91">
        <f t="shared" si="40"/>
        <v>0</v>
      </c>
      <c r="E120" s="102">
        <f>C120</f>
        <v>1</v>
      </c>
      <c r="F120" s="101">
        <v>1</v>
      </c>
    </row>
  </sheetData>
  <phoneticPr fontId="2" type="noConversion"/>
  <conditionalFormatting sqref="J13">
    <cfRule type="cellIs" dxfId="36" priority="9" operator="notEqual">
      <formula>"OK"</formula>
    </cfRule>
  </conditionalFormatting>
  <conditionalFormatting sqref="O13">
    <cfRule type="cellIs" dxfId="35" priority="8" operator="notEqual">
      <formula>"OK"</formula>
    </cfRule>
  </conditionalFormatting>
  <conditionalFormatting sqref="J17">
    <cfRule type="cellIs" dxfId="34" priority="7" operator="notEqual">
      <formula>"OK"</formula>
    </cfRule>
  </conditionalFormatting>
  <conditionalFormatting sqref="O17">
    <cfRule type="cellIs" dxfId="33" priority="6" operator="notEqual">
      <formula>"OK"</formula>
    </cfRule>
  </conditionalFormatting>
  <conditionalFormatting sqref="P13">
    <cfRule type="cellIs" dxfId="32" priority="5" operator="notEqual">
      <formula>"OK"</formula>
    </cfRule>
  </conditionalFormatting>
  <conditionalFormatting sqref="K13">
    <cfRule type="cellIs" dxfId="31" priority="4" operator="notEqual">
      <formula>"OK"</formula>
    </cfRule>
  </conditionalFormatting>
  <conditionalFormatting sqref="D10">
    <cfRule type="cellIs" dxfId="30" priority="3" operator="notEqual">
      <formula>0</formula>
    </cfRule>
  </conditionalFormatting>
  <conditionalFormatting sqref="D11:D120">
    <cfRule type="cellIs" dxfId="29" priority="2" operator="notEqual">
      <formula>0</formula>
    </cfRule>
  </conditionalFormatting>
  <conditionalFormatting sqref="D8">
    <cfRule type="cellIs" dxfId="28" priority="1" operator="notEqual">
      <formula>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8" r:id="rId4" name="Button 12">
              <controlPr defaultSize="0" print="0" autoFill="0" autoPict="0" macro="[0]!loadMortalityTabl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19050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Calculate">
                <anchor moveWithCells="1" sizeWithCells="1">
                  <from>
                    <xdr:col>0</xdr:col>
                    <xdr:colOff>66675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L120"/>
  <sheetViews>
    <sheetView showGridLines="0" zoomScale="85" zoomScaleNormal="85" workbookViewId="0">
      <pane ySplit="9" topLeftCell="A10" activePane="bottomLeft" state="frozen"/>
      <selection pane="bottomLeft" activeCell="A4" sqref="A4"/>
    </sheetView>
  </sheetViews>
  <sheetFormatPr baseColWidth="10" defaultColWidth="9.140625" defaultRowHeight="12.75" x14ac:dyDescent="0.2"/>
  <cols>
    <col min="1" max="1" width="6.140625" bestFit="1" customWidth="1"/>
    <col min="2" max="2" width="12.5703125" bestFit="1" customWidth="1"/>
    <col min="3" max="3" width="7.5703125" bestFit="1" customWidth="1"/>
    <col min="4" max="4" width="20.5703125" bestFit="1" customWidth="1"/>
    <col min="5" max="5" width="18" bestFit="1" customWidth="1"/>
    <col min="6" max="6" width="18.5703125" bestFit="1" customWidth="1"/>
    <col min="7" max="7" width="18" bestFit="1" customWidth="1"/>
    <col min="8" max="8" width="15.7109375" bestFit="1" customWidth="1"/>
    <col min="9" max="9" width="11.140625" customWidth="1"/>
    <col min="10" max="10" width="2.140625" customWidth="1"/>
    <col min="11" max="11" width="39.28515625" bestFit="1" customWidth="1"/>
    <col min="12" max="13" width="11.5703125" bestFit="1" customWidth="1"/>
  </cols>
  <sheetData>
    <row r="1" spans="1:12" ht="13.5" thickBot="1" x14ac:dyDescent="0.25">
      <c r="D1" s="171" t="s">
        <v>45</v>
      </c>
      <c r="E1" s="172"/>
      <c r="G1" s="3" t="s">
        <v>4</v>
      </c>
      <c r="H1" s="4">
        <v>50</v>
      </c>
      <c r="K1" s="42" t="s">
        <v>15</v>
      </c>
      <c r="L1" s="82">
        <f>ExAnnualPremium_p(H1,H3,H2,H4,H5,MortalityTable,H6)</f>
        <v>0.66309390174204563</v>
      </c>
    </row>
    <row r="2" spans="1:12" ht="13.5" thickBot="1" x14ac:dyDescent="0.25">
      <c r="D2" s="3" t="s">
        <v>46</v>
      </c>
      <c r="E2" s="43">
        <v>-0.05</v>
      </c>
      <c r="G2" s="5" t="s">
        <v>17</v>
      </c>
      <c r="H2" s="6">
        <v>5</v>
      </c>
      <c r="K2" s="30" t="s">
        <v>55</v>
      </c>
      <c r="L2" s="83">
        <f>ExAnnualPremium_p(H1,H3,H2,H4,H5,$E$10:$E$120,H6)</f>
        <v>0.69621740151267175</v>
      </c>
    </row>
    <row r="3" spans="1:12" ht="13.5" thickBot="1" x14ac:dyDescent="0.25">
      <c r="D3" s="7" t="s">
        <v>47</v>
      </c>
      <c r="E3" s="44">
        <v>1E-10</v>
      </c>
      <c r="G3" s="5" t="s">
        <v>16</v>
      </c>
      <c r="H3" s="6">
        <v>5</v>
      </c>
      <c r="K3" s="22" t="s">
        <v>83</v>
      </c>
      <c r="L3">
        <f>ExSinglePremium_p(H1,H3,H4,H5,$E$10:$E$120,H6)</f>
        <v>3.368789557237581</v>
      </c>
    </row>
    <row r="4" spans="1:12" ht="15" x14ac:dyDescent="0.25">
      <c r="A4" s="88" t="s">
        <v>78</v>
      </c>
      <c r="G4" s="5" t="s">
        <v>5</v>
      </c>
      <c r="H4" s="9">
        <v>0.01</v>
      </c>
      <c r="K4" s="173" t="s">
        <v>54</v>
      </c>
      <c r="L4" s="80">
        <f>L1-L2</f>
        <v>-3.3123499770626119E-2</v>
      </c>
    </row>
    <row r="5" spans="1:12" ht="13.5" thickBot="1" x14ac:dyDescent="0.25">
      <c r="G5" s="7" t="s">
        <v>6</v>
      </c>
      <c r="H5" s="10">
        <v>100</v>
      </c>
      <c r="K5" s="174"/>
      <c r="L5" s="81">
        <f>ExStressTest(H1,H3,H2,H4,H5,MortalityTable,H6,E2)</f>
        <v>-3.3123499770626119E-2</v>
      </c>
    </row>
    <row r="6" spans="1:12" ht="13.5" thickBot="1" x14ac:dyDescent="0.25">
      <c r="G6" s="30" t="s">
        <v>43</v>
      </c>
      <c r="H6" s="31" t="s">
        <v>44</v>
      </c>
      <c r="L6" s="34" t="s">
        <v>56</v>
      </c>
    </row>
    <row r="7" spans="1:12" ht="13.5" thickBot="1" x14ac:dyDescent="0.25">
      <c r="G7" s="108"/>
      <c r="L7" s="41" t="str">
        <f>IF(ABS(L4-L5)&lt;0.000000000001,"OK","Problem!")</f>
        <v>OK</v>
      </c>
    </row>
    <row r="8" spans="1:12" ht="13.5" thickBot="1" x14ac:dyDescent="0.25">
      <c r="B8" s="1" t="s">
        <v>37</v>
      </c>
      <c r="D8" s="16" t="s">
        <v>48</v>
      </c>
      <c r="E8" s="17" t="s">
        <v>49</v>
      </c>
      <c r="F8" s="16" t="s">
        <v>48</v>
      </c>
      <c r="G8" s="17" t="s">
        <v>49</v>
      </c>
      <c r="H8" s="34" t="s">
        <v>50</v>
      </c>
      <c r="I8" s="40" t="s">
        <v>51</v>
      </c>
    </row>
    <row r="9" spans="1:12" ht="13.5" thickBot="1" x14ac:dyDescent="0.25">
      <c r="A9" s="16" t="s">
        <v>3</v>
      </c>
      <c r="B9" s="19" t="s">
        <v>0</v>
      </c>
      <c r="C9" s="19" t="s">
        <v>2</v>
      </c>
      <c r="D9" s="16" t="s">
        <v>52</v>
      </c>
      <c r="E9" s="19" t="s">
        <v>53</v>
      </c>
      <c r="F9" s="16" t="s">
        <v>52</v>
      </c>
      <c r="G9" s="17" t="s">
        <v>53</v>
      </c>
      <c r="H9" s="41" t="str">
        <f>IF(SUM(H10:H120)=0,"OK","Problem!")</f>
        <v>OK</v>
      </c>
      <c r="I9" s="39" t="str">
        <f>IF(SUM(I10:I120)=0,"OK","Problem!")</f>
        <v>OK</v>
      </c>
    </row>
    <row r="10" spans="1:12" x14ac:dyDescent="0.2">
      <c r="A10" s="98">
        <v>0</v>
      </c>
      <c r="B10" s="67">
        <v>100000</v>
      </c>
      <c r="C10" s="32">
        <f t="shared" ref="C10:C41" si="0">1-B11/B10</f>
        <v>4.8899999999999499E-3</v>
      </c>
      <c r="D10" s="35">
        <f t="shared" ref="D10:D41" si="1">C10*(1-$E$2)</f>
        <v>5.1344999999999473E-3</v>
      </c>
      <c r="E10" s="36">
        <f>B10</f>
        <v>100000</v>
      </c>
      <c r="F10" s="35">
        <f t="shared" ref="F10:F41" si="2">1-E11/E10</f>
        <v>5.1344999999999308E-3</v>
      </c>
      <c r="G10" s="36">
        <f t="array" ref="G10:G120">ExDiscountMortTable(MortalityTable,E2)</f>
        <v>100000</v>
      </c>
      <c r="H10" s="37">
        <f t="shared" ref="H10:H41" si="3">(ABS(F10-D10)&gt;$E$3)*1</f>
        <v>0</v>
      </c>
      <c r="I10" s="38">
        <f t="shared" ref="I10:I41" si="4">(ABS(G10-E10)&gt;$E$3)*1</f>
        <v>0</v>
      </c>
    </row>
    <row r="11" spans="1:12" x14ac:dyDescent="0.2">
      <c r="A11" s="29">
        <f t="shared" ref="A11:A42" si="5">A10+1</f>
        <v>1</v>
      </c>
      <c r="B11" s="67">
        <v>99511</v>
      </c>
      <c r="C11" s="32">
        <f t="shared" si="0"/>
        <v>3.8186733124978556E-4</v>
      </c>
      <c r="D11" s="35">
        <f t="shared" si="1"/>
        <v>4.0096069781227488E-4</v>
      </c>
      <c r="E11" s="36">
        <f t="shared" ref="E11:E42" si="6">E10*(1-D10)</f>
        <v>99486.55</v>
      </c>
      <c r="F11" s="35">
        <f t="shared" si="2"/>
        <v>4.009606978123692E-4</v>
      </c>
      <c r="G11" s="36">
        <v>99486.55</v>
      </c>
      <c r="H11" s="37">
        <f t="shared" si="3"/>
        <v>0</v>
      </c>
      <c r="I11" s="38">
        <f t="shared" si="4"/>
        <v>0</v>
      </c>
    </row>
    <row r="12" spans="1:12" x14ac:dyDescent="0.2">
      <c r="A12" s="29">
        <f t="shared" si="5"/>
        <v>2</v>
      </c>
      <c r="B12" s="67">
        <v>99473</v>
      </c>
      <c r="C12" s="32">
        <f t="shared" si="0"/>
        <v>2.714304384103805E-4</v>
      </c>
      <c r="D12" s="35">
        <f t="shared" si="1"/>
        <v>2.8500196033089955E-4</v>
      </c>
      <c r="E12" s="36">
        <f t="shared" si="6"/>
        <v>99446.659803489063</v>
      </c>
      <c r="F12" s="35">
        <f t="shared" si="2"/>
        <v>2.8500196033087732E-4</v>
      </c>
      <c r="G12" s="36">
        <v>99446.659803489063</v>
      </c>
      <c r="H12" s="37">
        <f t="shared" si="3"/>
        <v>0</v>
      </c>
      <c r="I12" s="38">
        <f t="shared" si="4"/>
        <v>0</v>
      </c>
    </row>
    <row r="13" spans="1:12" x14ac:dyDescent="0.2">
      <c r="A13" s="29">
        <f t="shared" si="5"/>
        <v>3</v>
      </c>
      <c r="B13" s="67">
        <v>99446</v>
      </c>
      <c r="C13" s="32">
        <f t="shared" si="0"/>
        <v>2.2122558976733764E-4</v>
      </c>
      <c r="D13" s="35">
        <f t="shared" si="1"/>
        <v>2.3228686925570453E-4</v>
      </c>
      <c r="E13" s="36">
        <f t="shared" si="6"/>
        <v>99418.317310496714</v>
      </c>
      <c r="F13" s="35">
        <f t="shared" si="2"/>
        <v>2.322868692555824E-4</v>
      </c>
      <c r="G13" s="36">
        <v>99418.317310496699</v>
      </c>
      <c r="H13" s="37">
        <f t="shared" si="3"/>
        <v>0</v>
      </c>
      <c r="I13" s="38">
        <f t="shared" si="4"/>
        <v>0</v>
      </c>
    </row>
    <row r="14" spans="1:12" x14ac:dyDescent="0.2">
      <c r="A14" s="29">
        <f t="shared" si="5"/>
        <v>4</v>
      </c>
      <c r="B14" s="67">
        <v>99424</v>
      </c>
      <c r="C14" s="32">
        <f t="shared" si="0"/>
        <v>1.8104280656583427E-4</v>
      </c>
      <c r="D14" s="35">
        <f t="shared" si="1"/>
        <v>1.9009494689412599E-4</v>
      </c>
      <c r="E14" s="36">
        <f t="shared" si="6"/>
        <v>99395.223740821995</v>
      </c>
      <c r="F14" s="35">
        <f t="shared" si="2"/>
        <v>1.9009494689414819E-4</v>
      </c>
      <c r="G14" s="36">
        <v>99395.223740821981</v>
      </c>
      <c r="H14" s="37">
        <f t="shared" si="3"/>
        <v>0</v>
      </c>
      <c r="I14" s="38">
        <f t="shared" si="4"/>
        <v>0</v>
      </c>
    </row>
    <row r="15" spans="1:12" x14ac:dyDescent="0.2">
      <c r="A15" s="29">
        <f t="shared" si="5"/>
        <v>5</v>
      </c>
      <c r="B15" s="67">
        <v>99406</v>
      </c>
      <c r="C15" s="32">
        <f t="shared" si="0"/>
        <v>1.6095607910993071E-4</v>
      </c>
      <c r="D15" s="35">
        <f t="shared" si="1"/>
        <v>1.6900388306542724E-4</v>
      </c>
      <c r="E15" s="36">
        <f t="shared" si="6"/>
        <v>99376.329211043456</v>
      </c>
      <c r="F15" s="35">
        <f t="shared" si="2"/>
        <v>1.6900388306539949E-4</v>
      </c>
      <c r="G15" s="36">
        <v>99376.329211043441</v>
      </c>
      <c r="H15" s="37">
        <f t="shared" si="3"/>
        <v>0</v>
      </c>
      <c r="I15" s="38">
        <f t="shared" si="4"/>
        <v>0</v>
      </c>
    </row>
    <row r="16" spans="1:12" x14ac:dyDescent="0.2">
      <c r="A16" s="29">
        <f t="shared" si="5"/>
        <v>6</v>
      </c>
      <c r="B16" s="67">
        <v>99390</v>
      </c>
      <c r="C16" s="32">
        <f t="shared" si="0"/>
        <v>1.4085924137241523E-4</v>
      </c>
      <c r="D16" s="35">
        <f t="shared" si="1"/>
        <v>1.4790220344103601E-4</v>
      </c>
      <c r="E16" s="36">
        <f t="shared" si="6"/>
        <v>99359.534225522002</v>
      </c>
      <c r="F16" s="35">
        <f t="shared" si="2"/>
        <v>1.4790220344107485E-4</v>
      </c>
      <c r="G16" s="36">
        <v>99359.534225521988</v>
      </c>
      <c r="H16" s="37">
        <f t="shared" si="3"/>
        <v>0</v>
      </c>
      <c r="I16" s="38">
        <f t="shared" si="4"/>
        <v>0</v>
      </c>
    </row>
    <row r="17" spans="1:9" x14ac:dyDescent="0.2">
      <c r="A17" s="29">
        <f t="shared" si="5"/>
        <v>7</v>
      </c>
      <c r="B17" s="67">
        <v>99376</v>
      </c>
      <c r="C17" s="32">
        <f t="shared" si="0"/>
        <v>1.308162936725088E-4</v>
      </c>
      <c r="D17" s="35">
        <f t="shared" si="1"/>
        <v>1.3735710835613424E-4</v>
      </c>
      <c r="E17" s="36">
        <f t="shared" si="6"/>
        <v>99344.838731477168</v>
      </c>
      <c r="F17" s="35">
        <f t="shared" si="2"/>
        <v>1.3735710835605097E-4</v>
      </c>
      <c r="G17" s="36">
        <v>99344.838731477168</v>
      </c>
      <c r="H17" s="37">
        <f t="shared" si="3"/>
        <v>0</v>
      </c>
      <c r="I17" s="38">
        <f t="shared" si="4"/>
        <v>0</v>
      </c>
    </row>
    <row r="18" spans="1:9" x14ac:dyDescent="0.2">
      <c r="A18" s="29">
        <f t="shared" si="5"/>
        <v>8</v>
      </c>
      <c r="B18" s="67">
        <v>99363</v>
      </c>
      <c r="C18" s="32">
        <f t="shared" si="0"/>
        <v>1.3083340881414607E-4</v>
      </c>
      <c r="D18" s="35">
        <f t="shared" si="1"/>
        <v>1.3737507925485338E-4</v>
      </c>
      <c r="E18" s="36">
        <f t="shared" si="6"/>
        <v>99331.19301169891</v>
      </c>
      <c r="F18" s="35">
        <f t="shared" si="2"/>
        <v>1.3737507925482006E-4</v>
      </c>
      <c r="G18" s="36">
        <v>99331.19301169891</v>
      </c>
      <c r="H18" s="37">
        <f t="shared" si="3"/>
        <v>0</v>
      </c>
      <c r="I18" s="38">
        <f t="shared" si="4"/>
        <v>0</v>
      </c>
    </row>
    <row r="19" spans="1:9" x14ac:dyDescent="0.2">
      <c r="A19" s="29">
        <f t="shared" si="5"/>
        <v>9</v>
      </c>
      <c r="B19" s="67">
        <v>99350</v>
      </c>
      <c r="C19" s="32">
        <f t="shared" si="0"/>
        <v>1.2078510317059532E-4</v>
      </c>
      <c r="D19" s="35">
        <f t="shared" si="1"/>
        <v>1.268243583291251E-4</v>
      </c>
      <c r="E19" s="36">
        <f t="shared" si="6"/>
        <v>99317.54738118645</v>
      </c>
      <c r="F19" s="35">
        <f t="shared" si="2"/>
        <v>1.2682435832911398E-4</v>
      </c>
      <c r="G19" s="36">
        <v>99317.54738118645</v>
      </c>
      <c r="H19" s="37">
        <f t="shared" si="3"/>
        <v>0</v>
      </c>
      <c r="I19" s="38">
        <f t="shared" si="4"/>
        <v>0</v>
      </c>
    </row>
    <row r="20" spans="1:9" x14ac:dyDescent="0.2">
      <c r="A20" s="29">
        <f t="shared" si="5"/>
        <v>10</v>
      </c>
      <c r="B20" s="67">
        <v>99338</v>
      </c>
      <c r="C20" s="32">
        <f t="shared" si="0"/>
        <v>1.3086633513859081E-4</v>
      </c>
      <c r="D20" s="35">
        <f t="shared" si="1"/>
        <v>1.3740965189552035E-4</v>
      </c>
      <c r="E20" s="36">
        <f t="shared" si="6"/>
        <v>99304.951496969006</v>
      </c>
      <c r="F20" s="35">
        <f t="shared" si="2"/>
        <v>1.3740965189568133E-4</v>
      </c>
      <c r="G20" s="36">
        <v>99304.951496969006</v>
      </c>
      <c r="H20" s="37">
        <f t="shared" si="3"/>
        <v>0</v>
      </c>
      <c r="I20" s="38">
        <f t="shared" si="4"/>
        <v>0</v>
      </c>
    </row>
    <row r="21" spans="1:9" x14ac:dyDescent="0.2">
      <c r="A21" s="29">
        <f t="shared" si="5"/>
        <v>11</v>
      </c>
      <c r="B21" s="67">
        <v>99325</v>
      </c>
      <c r="C21" s="32">
        <f t="shared" si="0"/>
        <v>1.3088346337775114E-4</v>
      </c>
      <c r="D21" s="35">
        <f t="shared" si="1"/>
        <v>1.3742763654663869E-4</v>
      </c>
      <c r="E21" s="36">
        <f t="shared" si="6"/>
        <v>99291.306038152296</v>
      </c>
      <c r="F21" s="35">
        <f t="shared" si="2"/>
        <v>1.3742763654667201E-4</v>
      </c>
      <c r="G21" s="36">
        <v>99291.30603815231</v>
      </c>
      <c r="H21" s="37">
        <f t="shared" si="3"/>
        <v>0</v>
      </c>
      <c r="I21" s="38">
        <f t="shared" si="4"/>
        <v>0</v>
      </c>
    </row>
    <row r="22" spans="1:9" x14ac:dyDescent="0.2">
      <c r="A22" s="29">
        <f t="shared" si="5"/>
        <v>12</v>
      </c>
      <c r="B22" s="67">
        <v>99312</v>
      </c>
      <c r="C22" s="32">
        <f t="shared" si="0"/>
        <v>1.6110842597072406E-4</v>
      </c>
      <c r="D22" s="35">
        <f t="shared" si="1"/>
        <v>1.6916384726926026E-4</v>
      </c>
      <c r="E22" s="36">
        <f t="shared" si="6"/>
        <v>99277.660668633835</v>
      </c>
      <c r="F22" s="35">
        <f t="shared" si="2"/>
        <v>1.6916384726917144E-4</v>
      </c>
      <c r="G22" s="36">
        <v>99277.660668633849</v>
      </c>
      <c r="H22" s="37">
        <f t="shared" si="3"/>
        <v>0</v>
      </c>
      <c r="I22" s="38">
        <f t="shared" si="4"/>
        <v>0</v>
      </c>
    </row>
    <row r="23" spans="1:9" x14ac:dyDescent="0.2">
      <c r="A23" s="29">
        <f t="shared" si="5"/>
        <v>13</v>
      </c>
      <c r="B23" s="67">
        <v>99296</v>
      </c>
      <c r="C23" s="32">
        <f t="shared" si="0"/>
        <v>2.014179825975404E-4</v>
      </c>
      <c r="D23" s="35">
        <f t="shared" si="1"/>
        <v>2.1148888172741744E-4</v>
      </c>
      <c r="E23" s="36">
        <f t="shared" si="6"/>
        <v>99260.86647760724</v>
      </c>
      <c r="F23" s="35">
        <f t="shared" si="2"/>
        <v>2.1148888172739522E-4</v>
      </c>
      <c r="G23" s="36">
        <v>99260.866477607255</v>
      </c>
      <c r="H23" s="37">
        <f t="shared" si="3"/>
        <v>0</v>
      </c>
      <c r="I23" s="38">
        <f t="shared" si="4"/>
        <v>0</v>
      </c>
    </row>
    <row r="24" spans="1:9" x14ac:dyDescent="0.2">
      <c r="A24" s="29">
        <f t="shared" si="5"/>
        <v>14</v>
      </c>
      <c r="B24" s="67">
        <v>99276</v>
      </c>
      <c r="C24" s="32">
        <f t="shared" si="0"/>
        <v>2.6189612796645445E-4</v>
      </c>
      <c r="D24" s="35">
        <f t="shared" si="1"/>
        <v>2.7499093436477719E-4</v>
      </c>
      <c r="E24" s="36">
        <f t="shared" si="6"/>
        <v>99239.8739079566</v>
      </c>
      <c r="F24" s="35">
        <f t="shared" si="2"/>
        <v>2.7499093436478272E-4</v>
      </c>
      <c r="G24" s="36">
        <v>99239.873907956615</v>
      </c>
      <c r="H24" s="37">
        <f t="shared" si="3"/>
        <v>0</v>
      </c>
      <c r="I24" s="38">
        <f t="shared" si="4"/>
        <v>0</v>
      </c>
    </row>
    <row r="25" spans="1:9" x14ac:dyDescent="0.2">
      <c r="A25" s="29">
        <f t="shared" si="5"/>
        <v>15</v>
      </c>
      <c r="B25" s="67">
        <v>99250</v>
      </c>
      <c r="C25" s="32">
        <f t="shared" si="0"/>
        <v>3.7279596977335405E-4</v>
      </c>
      <c r="D25" s="35">
        <f t="shared" si="1"/>
        <v>3.914357682620218E-4</v>
      </c>
      <c r="E25" s="36">
        <f t="shared" si="6"/>
        <v>99212.583842304404</v>
      </c>
      <c r="F25" s="35">
        <f t="shared" si="2"/>
        <v>3.9143576826194959E-4</v>
      </c>
      <c r="G25" s="36">
        <v>99212.583842304419</v>
      </c>
      <c r="H25" s="37">
        <f t="shared" si="3"/>
        <v>0</v>
      </c>
      <c r="I25" s="38">
        <f t="shared" si="4"/>
        <v>0</v>
      </c>
    </row>
    <row r="26" spans="1:9" x14ac:dyDescent="0.2">
      <c r="A26" s="29">
        <f t="shared" si="5"/>
        <v>16</v>
      </c>
      <c r="B26" s="67">
        <v>99213</v>
      </c>
      <c r="C26" s="32">
        <f t="shared" si="0"/>
        <v>5.0396621410497833E-4</v>
      </c>
      <c r="D26" s="35">
        <f t="shared" si="1"/>
        <v>5.2916452481022722E-4</v>
      </c>
      <c r="E26" s="36">
        <f t="shared" si="6"/>
        <v>99173.748488326833</v>
      </c>
      <c r="F26" s="35">
        <f t="shared" si="2"/>
        <v>5.2916452481022169E-4</v>
      </c>
      <c r="G26" s="36">
        <v>99173.748488326848</v>
      </c>
      <c r="H26" s="37">
        <f t="shared" si="3"/>
        <v>0</v>
      </c>
      <c r="I26" s="38">
        <f t="shared" si="4"/>
        <v>0</v>
      </c>
    </row>
    <row r="27" spans="1:9" x14ac:dyDescent="0.2">
      <c r="A27" s="29">
        <f t="shared" si="5"/>
        <v>17</v>
      </c>
      <c r="B27" s="67">
        <v>99163</v>
      </c>
      <c r="C27" s="32">
        <f t="shared" si="0"/>
        <v>6.6557082782892074E-4</v>
      </c>
      <c r="D27" s="35">
        <f t="shared" si="1"/>
        <v>6.9884936922036682E-4</v>
      </c>
      <c r="E27" s="36">
        <f t="shared" si="6"/>
        <v>99121.269258834363</v>
      </c>
      <c r="F27" s="35">
        <f t="shared" si="2"/>
        <v>6.9884936922037788E-4</v>
      </c>
      <c r="G27" s="36">
        <v>99121.269258834363</v>
      </c>
      <c r="H27" s="37">
        <f t="shared" si="3"/>
        <v>0</v>
      </c>
      <c r="I27" s="38">
        <f t="shared" si="4"/>
        <v>0</v>
      </c>
    </row>
    <row r="28" spans="1:9" x14ac:dyDescent="0.2">
      <c r="A28" s="29">
        <f t="shared" si="5"/>
        <v>18</v>
      </c>
      <c r="B28" s="67">
        <v>99097</v>
      </c>
      <c r="C28" s="32">
        <f t="shared" si="0"/>
        <v>8.2747207281752555E-4</v>
      </c>
      <c r="D28" s="35">
        <f t="shared" si="1"/>
        <v>8.6884567645840191E-4</v>
      </c>
      <c r="E28" s="36">
        <f t="shared" si="6"/>
        <v>99051.998422336503</v>
      </c>
      <c r="F28" s="35">
        <f t="shared" si="2"/>
        <v>8.6884567645839628E-4</v>
      </c>
      <c r="G28" s="36">
        <v>99051.998422336503</v>
      </c>
      <c r="H28" s="37">
        <f t="shared" si="3"/>
        <v>0</v>
      </c>
      <c r="I28" s="38">
        <f t="shared" si="4"/>
        <v>0</v>
      </c>
    </row>
    <row r="29" spans="1:9" x14ac:dyDescent="0.2">
      <c r="A29" s="29">
        <f t="shared" si="5"/>
        <v>19</v>
      </c>
      <c r="B29" s="67">
        <v>99015</v>
      </c>
      <c r="C29" s="32">
        <f t="shared" si="0"/>
        <v>9.4935110841787296E-4</v>
      </c>
      <c r="D29" s="35">
        <f t="shared" si="1"/>
        <v>9.9681866383876674E-4</v>
      </c>
      <c r="E29" s="36">
        <f t="shared" si="6"/>
        <v>98965.937521762695</v>
      </c>
      <c r="F29" s="35">
        <f t="shared" si="2"/>
        <v>9.9681866383871665E-4</v>
      </c>
      <c r="G29" s="36">
        <v>98965.937521762695</v>
      </c>
      <c r="H29" s="37">
        <f t="shared" si="3"/>
        <v>0</v>
      </c>
      <c r="I29" s="38">
        <f t="shared" si="4"/>
        <v>0</v>
      </c>
    </row>
    <row r="30" spans="1:9" x14ac:dyDescent="0.2">
      <c r="A30" s="29">
        <f t="shared" si="5"/>
        <v>20</v>
      </c>
      <c r="B30" s="67">
        <v>98921</v>
      </c>
      <c r="C30" s="32">
        <f t="shared" si="0"/>
        <v>1.0210167709586715E-3</v>
      </c>
      <c r="D30" s="35">
        <f t="shared" si="1"/>
        <v>1.072067609506605E-3</v>
      </c>
      <c r="E30" s="36">
        <f t="shared" si="6"/>
        <v>98867.286428156702</v>
      </c>
      <c r="F30" s="35">
        <f t="shared" si="2"/>
        <v>1.0720676095066217E-3</v>
      </c>
      <c r="G30" s="36">
        <v>98867.286428156702</v>
      </c>
      <c r="H30" s="37">
        <f t="shared" si="3"/>
        <v>0</v>
      </c>
      <c r="I30" s="38">
        <f t="shared" si="4"/>
        <v>0</v>
      </c>
    </row>
    <row r="31" spans="1:9" x14ac:dyDescent="0.2">
      <c r="A31" s="29">
        <f t="shared" si="5"/>
        <v>21</v>
      </c>
      <c r="B31" s="67">
        <v>98820</v>
      </c>
      <c r="C31" s="32">
        <f t="shared" si="0"/>
        <v>1.0524185387573715E-3</v>
      </c>
      <c r="D31" s="35">
        <f t="shared" si="1"/>
        <v>1.1050394656952401E-3</v>
      </c>
      <c r="E31" s="36">
        <f t="shared" si="6"/>
        <v>98761.294012737257</v>
      </c>
      <c r="F31" s="35">
        <f t="shared" si="2"/>
        <v>1.10503946569529E-3</v>
      </c>
      <c r="G31" s="36">
        <v>98761.294012737271</v>
      </c>
      <c r="H31" s="37">
        <f t="shared" si="3"/>
        <v>0</v>
      </c>
      <c r="I31" s="38">
        <f t="shared" si="4"/>
        <v>0</v>
      </c>
    </row>
    <row r="32" spans="1:9" x14ac:dyDescent="0.2">
      <c r="A32" s="29">
        <f t="shared" si="5"/>
        <v>22</v>
      </c>
      <c r="B32" s="67">
        <v>98716</v>
      </c>
      <c r="C32" s="32">
        <f t="shared" si="0"/>
        <v>1.0535272904088622E-3</v>
      </c>
      <c r="D32" s="35">
        <f t="shared" si="1"/>
        <v>1.1062036549293053E-3</v>
      </c>
      <c r="E32" s="36">
        <f t="shared" si="6"/>
        <v>98652.158885170051</v>
      </c>
      <c r="F32" s="35">
        <f t="shared" si="2"/>
        <v>1.1062036549293053E-3</v>
      </c>
      <c r="G32" s="36">
        <v>98652.158885170065</v>
      </c>
      <c r="H32" s="37">
        <f t="shared" si="3"/>
        <v>0</v>
      </c>
      <c r="I32" s="38">
        <f t="shared" si="4"/>
        <v>0</v>
      </c>
    </row>
    <row r="33" spans="1:9" x14ac:dyDescent="0.2">
      <c r="A33" s="29">
        <f t="shared" si="5"/>
        <v>23</v>
      </c>
      <c r="B33" s="67">
        <v>98612</v>
      </c>
      <c r="C33" s="32">
        <f t="shared" si="0"/>
        <v>1.0444976270636008E-3</v>
      </c>
      <c r="D33" s="35">
        <f t="shared" si="1"/>
        <v>1.096722508416781E-3</v>
      </c>
      <c r="E33" s="36">
        <f t="shared" si="6"/>
        <v>98543.029506444611</v>
      </c>
      <c r="F33" s="35">
        <f t="shared" si="2"/>
        <v>1.0967225084167476E-3</v>
      </c>
      <c r="G33" s="36">
        <v>98543.029506444625</v>
      </c>
      <c r="H33" s="37">
        <f t="shared" si="3"/>
        <v>0</v>
      </c>
      <c r="I33" s="38">
        <f t="shared" si="4"/>
        <v>0</v>
      </c>
    </row>
    <row r="34" spans="1:9" x14ac:dyDescent="0.2">
      <c r="A34" s="29">
        <f t="shared" si="5"/>
        <v>24</v>
      </c>
      <c r="B34" s="67">
        <v>98509</v>
      </c>
      <c r="C34" s="32">
        <f t="shared" si="0"/>
        <v>1.0455897430691197E-3</v>
      </c>
      <c r="D34" s="35">
        <f t="shared" si="1"/>
        <v>1.0978692302225756E-3</v>
      </c>
      <c r="E34" s="36">
        <f t="shared" si="6"/>
        <v>98434.955147937319</v>
      </c>
      <c r="F34" s="35">
        <f t="shared" si="2"/>
        <v>1.0978692302227033E-3</v>
      </c>
      <c r="G34" s="36">
        <v>98434.955147937319</v>
      </c>
      <c r="H34" s="37">
        <f t="shared" si="3"/>
        <v>0</v>
      </c>
      <c r="I34" s="38">
        <f t="shared" si="4"/>
        <v>0</v>
      </c>
    </row>
    <row r="35" spans="1:9" x14ac:dyDescent="0.2">
      <c r="A35" s="29">
        <f t="shared" si="5"/>
        <v>25</v>
      </c>
      <c r="B35" s="67">
        <v>98406</v>
      </c>
      <c r="C35" s="32">
        <f t="shared" si="0"/>
        <v>1.0466841452756448E-3</v>
      </c>
      <c r="D35" s="35">
        <f t="shared" si="1"/>
        <v>1.0990183525394271E-3</v>
      </c>
      <c r="E35" s="36">
        <f t="shared" si="6"/>
        <v>98326.88643950205</v>
      </c>
      <c r="F35" s="35">
        <f t="shared" si="2"/>
        <v>1.0990183525394492E-3</v>
      </c>
      <c r="G35" s="36">
        <v>98326.88643950205</v>
      </c>
      <c r="H35" s="37">
        <f t="shared" si="3"/>
        <v>0</v>
      </c>
      <c r="I35" s="38">
        <f t="shared" si="4"/>
        <v>0</v>
      </c>
    </row>
    <row r="36" spans="1:9" x14ac:dyDescent="0.2">
      <c r="A36" s="29">
        <f t="shared" si="5"/>
        <v>26</v>
      </c>
      <c r="B36" s="67">
        <v>98303</v>
      </c>
      <c r="C36" s="32">
        <f t="shared" si="0"/>
        <v>1.0681260999155784E-3</v>
      </c>
      <c r="D36" s="35">
        <f t="shared" si="1"/>
        <v>1.1215324049113574E-3</v>
      </c>
      <c r="E36" s="36">
        <f t="shared" si="6"/>
        <v>98218.82338675698</v>
      </c>
      <c r="F36" s="35">
        <f t="shared" si="2"/>
        <v>1.1215324049114184E-3</v>
      </c>
      <c r="G36" s="36">
        <v>98218.823386756965</v>
      </c>
      <c r="H36" s="37">
        <f t="shared" si="3"/>
        <v>0</v>
      </c>
      <c r="I36" s="38">
        <f t="shared" si="4"/>
        <v>0</v>
      </c>
    </row>
    <row r="37" spans="1:9" x14ac:dyDescent="0.2">
      <c r="A37" s="29">
        <f t="shared" si="5"/>
        <v>27</v>
      </c>
      <c r="B37" s="67">
        <v>98198</v>
      </c>
      <c r="C37" s="32">
        <f t="shared" si="0"/>
        <v>1.0896352267867337E-3</v>
      </c>
      <c r="D37" s="35">
        <f t="shared" si="1"/>
        <v>1.1441169881260705E-3</v>
      </c>
      <c r="E37" s="36">
        <f t="shared" si="6"/>
        <v>98108.667793556466</v>
      </c>
      <c r="F37" s="35">
        <f t="shared" si="2"/>
        <v>1.1441169881261093E-3</v>
      </c>
      <c r="G37" s="36">
        <v>98108.667793556451</v>
      </c>
      <c r="H37" s="37">
        <f t="shared" si="3"/>
        <v>0</v>
      </c>
      <c r="I37" s="38">
        <f t="shared" si="4"/>
        <v>0</v>
      </c>
    </row>
    <row r="38" spans="1:9" x14ac:dyDescent="0.2">
      <c r="A38" s="29">
        <f t="shared" si="5"/>
        <v>28</v>
      </c>
      <c r="B38" s="67">
        <v>98091</v>
      </c>
      <c r="C38" s="32">
        <f t="shared" si="0"/>
        <v>1.1112130572631385E-3</v>
      </c>
      <c r="D38" s="35">
        <f t="shared" si="1"/>
        <v>1.1667737101262955E-3</v>
      </c>
      <c r="E38" s="36">
        <f t="shared" si="6"/>
        <v>97996.420000051439</v>
      </c>
      <c r="F38" s="35">
        <f t="shared" si="2"/>
        <v>1.166773710126412E-3</v>
      </c>
      <c r="G38" s="36">
        <v>97996.420000051425</v>
      </c>
      <c r="H38" s="37">
        <f t="shared" si="3"/>
        <v>0</v>
      </c>
      <c r="I38" s="38">
        <f t="shared" si="4"/>
        <v>0</v>
      </c>
    </row>
    <row r="39" spans="1:9" x14ac:dyDescent="0.2">
      <c r="A39" s="29">
        <f t="shared" si="5"/>
        <v>29</v>
      </c>
      <c r="B39" s="67">
        <v>97982</v>
      </c>
      <c r="C39" s="32">
        <f t="shared" si="0"/>
        <v>1.1430670939560628E-3</v>
      </c>
      <c r="D39" s="35">
        <f t="shared" si="1"/>
        <v>1.2002204486538659E-3</v>
      </c>
      <c r="E39" s="36">
        <f t="shared" si="6"/>
        <v>97882.080353508878</v>
      </c>
      <c r="F39" s="35">
        <f t="shared" si="2"/>
        <v>1.2002204486537549E-3</v>
      </c>
      <c r="G39" s="36">
        <v>97882.080353508863</v>
      </c>
      <c r="H39" s="37">
        <f t="shared" si="3"/>
        <v>0</v>
      </c>
      <c r="I39" s="38">
        <f t="shared" si="4"/>
        <v>0</v>
      </c>
    </row>
    <row r="40" spans="1:9" x14ac:dyDescent="0.2">
      <c r="A40" s="29">
        <f t="shared" si="5"/>
        <v>30</v>
      </c>
      <c r="B40" s="67">
        <v>97870</v>
      </c>
      <c r="C40" s="32">
        <f t="shared" si="0"/>
        <v>1.1648104628588785E-3</v>
      </c>
      <c r="D40" s="35">
        <f t="shared" si="1"/>
        <v>1.2230509860018223E-3</v>
      </c>
      <c r="E40" s="36">
        <f t="shared" si="6"/>
        <v>97764.600279111823</v>
      </c>
      <c r="F40" s="35">
        <f t="shared" si="2"/>
        <v>1.223050986001728E-3</v>
      </c>
      <c r="G40" s="36">
        <v>97764.600279111808</v>
      </c>
      <c r="H40" s="37">
        <f t="shared" si="3"/>
        <v>0</v>
      </c>
      <c r="I40" s="38">
        <f t="shared" si="4"/>
        <v>0</v>
      </c>
    </row>
    <row r="41" spans="1:9" x14ac:dyDescent="0.2">
      <c r="A41" s="29">
        <f t="shared" si="5"/>
        <v>31</v>
      </c>
      <c r="B41" s="67">
        <v>97756</v>
      </c>
      <c r="C41" s="32">
        <f t="shared" si="0"/>
        <v>1.1968574818936872E-3</v>
      </c>
      <c r="D41" s="35">
        <f t="shared" si="1"/>
        <v>1.2567003559883717E-3</v>
      </c>
      <c r="E41" s="36">
        <f t="shared" si="6"/>
        <v>97645.029188344386</v>
      </c>
      <c r="F41" s="35">
        <f t="shared" si="2"/>
        <v>1.2567003559883494E-3</v>
      </c>
      <c r="G41" s="36">
        <v>97645.029188344372</v>
      </c>
      <c r="H41" s="37">
        <f t="shared" si="3"/>
        <v>0</v>
      </c>
      <c r="I41" s="38">
        <f t="shared" si="4"/>
        <v>0</v>
      </c>
    </row>
    <row r="42" spans="1:9" x14ac:dyDescent="0.2">
      <c r="A42" s="29">
        <f t="shared" si="5"/>
        <v>32</v>
      </c>
      <c r="B42" s="67">
        <v>97639</v>
      </c>
      <c r="C42" s="32">
        <f t="shared" ref="C42:C73" si="7">1-B43/B42</f>
        <v>1.24950071180574E-3</v>
      </c>
      <c r="D42" s="35">
        <f t="shared" ref="D42:D73" si="8">C42*(1-$E$2)</f>
        <v>1.311975747396027E-3</v>
      </c>
      <c r="E42" s="36">
        <f t="shared" si="6"/>
        <v>97522.318645402906</v>
      </c>
      <c r="F42" s="35">
        <f t="shared" ref="F42:F73" si="9">1-E43/E42</f>
        <v>1.3119757473960547E-3</v>
      </c>
      <c r="G42" s="36">
        <v>97522.318645402876</v>
      </c>
      <c r="H42" s="37">
        <f t="shared" ref="H42:H73" si="10">(ABS(F42-D42)&gt;$E$3)*1</f>
        <v>0</v>
      </c>
      <c r="I42" s="38">
        <f t="shared" ref="I42:I73" si="11">(ABS(G42-E42)&gt;$E$3)*1</f>
        <v>0</v>
      </c>
    </row>
    <row r="43" spans="1:9" x14ac:dyDescent="0.2">
      <c r="A43" s="29">
        <f t="shared" ref="A43:A74" si="12">A42+1</f>
        <v>33</v>
      </c>
      <c r="B43" s="67">
        <v>97517</v>
      </c>
      <c r="C43" s="32">
        <f t="shared" si="7"/>
        <v>1.3228462729575341E-3</v>
      </c>
      <c r="D43" s="35">
        <f t="shared" si="8"/>
        <v>1.3889885866054108E-3</v>
      </c>
      <c r="E43" s="36">
        <f t="shared" ref="E43:E74" si="13">E42*(1-D42)</f>
        <v>97394.371728510305</v>
      </c>
      <c r="F43" s="35">
        <f t="shared" si="9"/>
        <v>1.3889885866054108E-3</v>
      </c>
      <c r="G43" s="36">
        <v>97394.371728510276</v>
      </c>
      <c r="H43" s="37">
        <f t="shared" si="10"/>
        <v>0</v>
      </c>
      <c r="I43" s="38">
        <f t="shared" si="11"/>
        <v>0</v>
      </c>
    </row>
    <row r="44" spans="1:9" x14ac:dyDescent="0.2">
      <c r="A44" s="29">
        <f t="shared" si="12"/>
        <v>34</v>
      </c>
      <c r="B44" s="67">
        <v>97388</v>
      </c>
      <c r="C44" s="32">
        <f t="shared" si="7"/>
        <v>1.4272805684478751E-3</v>
      </c>
      <c r="D44" s="35">
        <f t="shared" si="8"/>
        <v>1.4986445968702689E-3</v>
      </c>
      <c r="E44" s="36">
        <f t="shared" si="13"/>
        <v>97259.092057779795</v>
      </c>
      <c r="F44" s="35">
        <f t="shared" si="9"/>
        <v>1.4986445968703244E-3</v>
      </c>
      <c r="G44" s="36">
        <v>97259.092057779766</v>
      </c>
      <c r="H44" s="37">
        <f t="shared" si="10"/>
        <v>0</v>
      </c>
      <c r="I44" s="38">
        <f t="shared" si="11"/>
        <v>0</v>
      </c>
    </row>
    <row r="45" spans="1:9" x14ac:dyDescent="0.2">
      <c r="A45" s="29">
        <f t="shared" si="12"/>
        <v>35</v>
      </c>
      <c r="B45" s="67">
        <v>97249</v>
      </c>
      <c r="C45" s="32">
        <f t="shared" si="7"/>
        <v>1.5321494308424555E-3</v>
      </c>
      <c r="D45" s="35">
        <f t="shared" si="8"/>
        <v>1.6087569023845783E-3</v>
      </c>
      <c r="E45" s="36">
        <f t="shared" si="13"/>
        <v>97113.335244970891</v>
      </c>
      <c r="F45" s="35">
        <f t="shared" si="9"/>
        <v>1.6087569023846005E-3</v>
      </c>
      <c r="G45" s="36">
        <v>97113.335244970862</v>
      </c>
      <c r="H45" s="37">
        <f t="shared" si="10"/>
        <v>0</v>
      </c>
      <c r="I45" s="38">
        <f t="shared" si="11"/>
        <v>0</v>
      </c>
    </row>
    <row r="46" spans="1:9" x14ac:dyDescent="0.2">
      <c r="A46" s="29">
        <f t="shared" si="12"/>
        <v>36</v>
      </c>
      <c r="B46" s="67">
        <v>97100</v>
      </c>
      <c r="C46" s="32">
        <f t="shared" si="7"/>
        <v>1.6580844490216018E-3</v>
      </c>
      <c r="D46" s="35">
        <f t="shared" si="8"/>
        <v>1.7409886714726819E-3</v>
      </c>
      <c r="E46" s="36">
        <f t="shared" si="13"/>
        <v>96957.103496581956</v>
      </c>
      <c r="F46" s="35">
        <f t="shared" si="9"/>
        <v>1.7409886714725431E-3</v>
      </c>
      <c r="G46" s="36">
        <v>96957.103496581927</v>
      </c>
      <c r="H46" s="37">
        <f t="shared" si="10"/>
        <v>0</v>
      </c>
      <c r="I46" s="38">
        <f t="shared" si="11"/>
        <v>0</v>
      </c>
    </row>
    <row r="47" spans="1:9" x14ac:dyDescent="0.2">
      <c r="A47" s="29">
        <f t="shared" si="12"/>
        <v>37</v>
      </c>
      <c r="B47" s="67">
        <v>96939</v>
      </c>
      <c r="C47" s="32">
        <f t="shared" si="7"/>
        <v>1.7949432117104758E-3</v>
      </c>
      <c r="D47" s="35">
        <f t="shared" si="8"/>
        <v>1.8846903722959996E-3</v>
      </c>
      <c r="E47" s="36">
        <f t="shared" si="13"/>
        <v>96788.302277775612</v>
      </c>
      <c r="F47" s="35">
        <f t="shared" si="9"/>
        <v>1.884690372295994E-3</v>
      </c>
      <c r="G47" s="36">
        <v>96788.302277775569</v>
      </c>
      <c r="H47" s="37">
        <f t="shared" si="10"/>
        <v>0</v>
      </c>
      <c r="I47" s="38">
        <f t="shared" si="11"/>
        <v>0</v>
      </c>
    </row>
    <row r="48" spans="1:9" x14ac:dyDescent="0.2">
      <c r="A48" s="29">
        <f t="shared" si="12"/>
        <v>38</v>
      </c>
      <c r="B48" s="67">
        <v>96765</v>
      </c>
      <c r="C48" s="32">
        <f t="shared" si="7"/>
        <v>1.9531855526274677E-3</v>
      </c>
      <c r="D48" s="35">
        <f t="shared" si="8"/>
        <v>2.0508448302588413E-3</v>
      </c>
      <c r="E48" s="36">
        <f t="shared" si="13"/>
        <v>96605.886296321813</v>
      </c>
      <c r="F48" s="35">
        <f t="shared" si="9"/>
        <v>2.0508448302588578E-3</v>
      </c>
      <c r="G48" s="36">
        <v>96605.886296321769</v>
      </c>
      <c r="H48" s="37">
        <f t="shared" si="10"/>
        <v>0</v>
      </c>
      <c r="I48" s="38">
        <f t="shared" si="11"/>
        <v>0</v>
      </c>
    </row>
    <row r="49" spans="1:9" x14ac:dyDescent="0.2">
      <c r="A49" s="29">
        <f t="shared" si="12"/>
        <v>39</v>
      </c>
      <c r="B49" s="67">
        <v>96576</v>
      </c>
      <c r="C49" s="32">
        <f t="shared" si="7"/>
        <v>2.1433896620278725E-3</v>
      </c>
      <c r="D49" s="35">
        <f t="shared" si="8"/>
        <v>2.2505591451292663E-3</v>
      </c>
      <c r="E49" s="36">
        <f t="shared" si="13"/>
        <v>96407.762613838422</v>
      </c>
      <c r="F49" s="35">
        <f t="shared" si="9"/>
        <v>2.2505591451293938E-3</v>
      </c>
      <c r="G49" s="36">
        <v>96407.762613838378</v>
      </c>
      <c r="H49" s="37">
        <f t="shared" si="10"/>
        <v>0</v>
      </c>
      <c r="I49" s="38">
        <f t="shared" si="11"/>
        <v>0</v>
      </c>
    </row>
    <row r="50" spans="1:9" x14ac:dyDescent="0.2">
      <c r="A50" s="29">
        <f t="shared" si="12"/>
        <v>40</v>
      </c>
      <c r="B50" s="67">
        <v>96369</v>
      </c>
      <c r="C50" s="32">
        <f t="shared" si="7"/>
        <v>2.3659060486256323E-3</v>
      </c>
      <c r="D50" s="35">
        <f t="shared" si="8"/>
        <v>2.4842013510569141E-3</v>
      </c>
      <c r="E50" s="36">
        <f t="shared" si="13"/>
        <v>96190.791242026389</v>
      </c>
      <c r="F50" s="35">
        <f t="shared" si="9"/>
        <v>2.4842013510569805E-3</v>
      </c>
      <c r="G50" s="36">
        <v>96190.79124202636</v>
      </c>
      <c r="H50" s="37">
        <f t="shared" si="10"/>
        <v>0</v>
      </c>
      <c r="I50" s="38">
        <f t="shared" si="11"/>
        <v>0</v>
      </c>
    </row>
    <row r="51" spans="1:9" x14ac:dyDescent="0.2">
      <c r="A51" s="29">
        <f t="shared" si="12"/>
        <v>41</v>
      </c>
      <c r="B51" s="67">
        <v>96141</v>
      </c>
      <c r="C51" s="32">
        <f t="shared" si="7"/>
        <v>2.6419529649160944E-3</v>
      </c>
      <c r="D51" s="35">
        <f t="shared" si="8"/>
        <v>2.7740506131618994E-3</v>
      </c>
      <c r="E51" s="36">
        <f t="shared" si="13"/>
        <v>95951.833948463711</v>
      </c>
      <c r="F51" s="35">
        <f t="shared" si="9"/>
        <v>2.774050613161938E-3</v>
      </c>
      <c r="G51" s="36">
        <v>95951.833948463682</v>
      </c>
      <c r="H51" s="37">
        <f t="shared" si="10"/>
        <v>0</v>
      </c>
      <c r="I51" s="38">
        <f t="shared" si="11"/>
        <v>0</v>
      </c>
    </row>
    <row r="52" spans="1:9" x14ac:dyDescent="0.2">
      <c r="A52" s="29">
        <f t="shared" si="12"/>
        <v>42</v>
      </c>
      <c r="B52" s="67">
        <v>95887</v>
      </c>
      <c r="C52" s="32">
        <f t="shared" si="7"/>
        <v>2.9305328146672638E-3</v>
      </c>
      <c r="D52" s="35">
        <f t="shared" si="8"/>
        <v>3.077059455400627E-3</v>
      </c>
      <c r="E52" s="36">
        <f t="shared" si="13"/>
        <v>95685.658704664966</v>
      </c>
      <c r="F52" s="35">
        <f t="shared" si="9"/>
        <v>3.0770594554005992E-3</v>
      </c>
      <c r="G52" s="36">
        <v>95685.658704664937</v>
      </c>
      <c r="H52" s="37">
        <f t="shared" si="10"/>
        <v>0</v>
      </c>
      <c r="I52" s="38">
        <f t="shared" si="11"/>
        <v>0</v>
      </c>
    </row>
    <row r="53" spans="1:9" x14ac:dyDescent="0.2">
      <c r="A53" s="29">
        <f t="shared" si="12"/>
        <v>43</v>
      </c>
      <c r="B53" s="67">
        <v>95606</v>
      </c>
      <c r="C53" s="32">
        <f t="shared" si="7"/>
        <v>3.252933916281453E-3</v>
      </c>
      <c r="D53" s="35">
        <f t="shared" si="8"/>
        <v>3.4155806120955258E-3</v>
      </c>
      <c r="E53" s="36">
        <f t="shared" si="13"/>
        <v>95391.228243801539</v>
      </c>
      <c r="F53" s="35">
        <f t="shared" si="9"/>
        <v>3.4155806120955701E-3</v>
      </c>
      <c r="G53" s="36">
        <v>95391.22824380151</v>
      </c>
      <c r="H53" s="37">
        <f t="shared" si="10"/>
        <v>0</v>
      </c>
      <c r="I53" s="38">
        <f t="shared" si="11"/>
        <v>0</v>
      </c>
    </row>
    <row r="54" spans="1:9" x14ac:dyDescent="0.2">
      <c r="A54" s="29">
        <f t="shared" si="12"/>
        <v>44</v>
      </c>
      <c r="B54" s="67">
        <v>95295</v>
      </c>
      <c r="C54" s="32">
        <f t="shared" si="7"/>
        <v>3.5993493887401806E-3</v>
      </c>
      <c r="D54" s="35">
        <f t="shared" si="8"/>
        <v>3.7793168581771899E-3</v>
      </c>
      <c r="E54" s="36">
        <f t="shared" si="13"/>
        <v>95065.411814048028</v>
      </c>
      <c r="F54" s="35">
        <f t="shared" si="9"/>
        <v>3.7793168581772285E-3</v>
      </c>
      <c r="G54" s="36">
        <v>95065.411814048013</v>
      </c>
      <c r="H54" s="37">
        <f t="shared" si="10"/>
        <v>0</v>
      </c>
      <c r="I54" s="38">
        <f t="shared" si="11"/>
        <v>0</v>
      </c>
    </row>
    <row r="55" spans="1:9" x14ac:dyDescent="0.2">
      <c r="A55" s="29">
        <f t="shared" si="12"/>
        <v>45</v>
      </c>
      <c r="B55" s="67">
        <v>94952</v>
      </c>
      <c r="C55" s="32">
        <f t="shared" si="7"/>
        <v>3.9704271631982868E-3</v>
      </c>
      <c r="D55" s="35">
        <f t="shared" si="8"/>
        <v>4.168948521358201E-3</v>
      </c>
      <c r="E55" s="36">
        <f t="shared" si="13"/>
        <v>94706.129500549636</v>
      </c>
      <c r="F55" s="35">
        <f t="shared" si="9"/>
        <v>4.1689485213581845E-3</v>
      </c>
      <c r="G55" s="36">
        <v>94706.129500549621</v>
      </c>
      <c r="H55" s="37">
        <f t="shared" si="10"/>
        <v>0</v>
      </c>
      <c r="I55" s="38">
        <f t="shared" si="11"/>
        <v>0</v>
      </c>
    </row>
    <row r="56" spans="1:9" x14ac:dyDescent="0.2">
      <c r="A56" s="29">
        <f t="shared" si="12"/>
        <v>46</v>
      </c>
      <c r="B56" s="67">
        <v>94575</v>
      </c>
      <c r="C56" s="32">
        <f t="shared" si="7"/>
        <v>4.3457573354480639E-3</v>
      </c>
      <c r="D56" s="35">
        <f t="shared" si="8"/>
        <v>4.5630452022204669E-3</v>
      </c>
      <c r="E56" s="36">
        <f t="shared" si="13"/>
        <v>94311.304522004764</v>
      </c>
      <c r="F56" s="35">
        <f t="shared" si="9"/>
        <v>4.5630452022206169E-3</v>
      </c>
      <c r="G56" s="36">
        <v>94311.30452200475</v>
      </c>
      <c r="H56" s="37">
        <f t="shared" si="10"/>
        <v>0</v>
      </c>
      <c r="I56" s="38">
        <f t="shared" si="11"/>
        <v>0</v>
      </c>
    </row>
    <row r="57" spans="1:9" x14ac:dyDescent="0.2">
      <c r="A57" s="29">
        <f t="shared" si="12"/>
        <v>47</v>
      </c>
      <c r="B57" s="67">
        <v>94164</v>
      </c>
      <c r="C57" s="32">
        <f t="shared" si="7"/>
        <v>4.715177774945789E-3</v>
      </c>
      <c r="D57" s="35">
        <f t="shared" si="8"/>
        <v>4.9509366636930783E-3</v>
      </c>
      <c r="E57" s="36">
        <f t="shared" si="13"/>
        <v>93880.957776390467</v>
      </c>
      <c r="F57" s="35">
        <f t="shared" si="9"/>
        <v>4.9509366636930618E-3</v>
      </c>
      <c r="G57" s="36">
        <v>93880.957776390467</v>
      </c>
      <c r="H57" s="37">
        <f t="shared" si="10"/>
        <v>0</v>
      </c>
      <c r="I57" s="38">
        <f t="shared" si="11"/>
        <v>0</v>
      </c>
    </row>
    <row r="58" spans="1:9" x14ac:dyDescent="0.2">
      <c r="A58" s="29">
        <f t="shared" si="12"/>
        <v>48</v>
      </c>
      <c r="B58" s="67">
        <v>93720</v>
      </c>
      <c r="C58" s="32">
        <f t="shared" si="7"/>
        <v>5.0789586000853371E-3</v>
      </c>
      <c r="D58" s="35">
        <f t="shared" si="8"/>
        <v>5.3329065300896043E-3</v>
      </c>
      <c r="E58" s="36">
        <f t="shared" si="13"/>
        <v>93416.159100512712</v>
      </c>
      <c r="F58" s="35">
        <f t="shared" si="9"/>
        <v>5.332906530089554E-3</v>
      </c>
      <c r="G58" s="36">
        <v>93416.159100512712</v>
      </c>
      <c r="H58" s="37">
        <f t="shared" si="10"/>
        <v>0</v>
      </c>
      <c r="I58" s="38">
        <f t="shared" si="11"/>
        <v>0</v>
      </c>
    </row>
    <row r="59" spans="1:9" x14ac:dyDescent="0.2">
      <c r="A59" s="29">
        <f t="shared" si="12"/>
        <v>49</v>
      </c>
      <c r="B59" s="67">
        <v>93244</v>
      </c>
      <c r="C59" s="32">
        <f t="shared" si="7"/>
        <v>5.4480717257946454E-3</v>
      </c>
      <c r="D59" s="35">
        <f t="shared" si="8"/>
        <v>5.7204753120843775E-3</v>
      </c>
      <c r="E59" s="36">
        <f t="shared" si="13"/>
        <v>92917.979455629698</v>
      </c>
      <c r="F59" s="35">
        <f t="shared" si="9"/>
        <v>5.7204753120844165E-3</v>
      </c>
      <c r="G59" s="36">
        <v>92917.979455629698</v>
      </c>
      <c r="H59" s="37">
        <f t="shared" si="10"/>
        <v>0</v>
      </c>
      <c r="I59" s="38">
        <f t="shared" si="11"/>
        <v>0</v>
      </c>
    </row>
    <row r="60" spans="1:9" x14ac:dyDescent="0.2">
      <c r="A60" s="29">
        <f t="shared" si="12"/>
        <v>50</v>
      </c>
      <c r="B60" s="67">
        <v>92736</v>
      </c>
      <c r="C60" s="32">
        <f t="shared" si="7"/>
        <v>5.8229813664596453E-3</v>
      </c>
      <c r="D60" s="35">
        <f t="shared" si="8"/>
        <v>6.114130434782628E-3</v>
      </c>
      <c r="E60" s="36">
        <f t="shared" si="13"/>
        <v>92386.444448105001</v>
      </c>
      <c r="F60" s="35">
        <f t="shared" si="9"/>
        <v>6.1141304347827052E-3</v>
      </c>
      <c r="G60" s="36">
        <v>92386.444448105001</v>
      </c>
      <c r="H60" s="37">
        <f t="shared" si="10"/>
        <v>0</v>
      </c>
      <c r="I60" s="38">
        <f t="shared" si="11"/>
        <v>0</v>
      </c>
    </row>
    <row r="61" spans="1:9" x14ac:dyDescent="0.2">
      <c r="A61" s="29">
        <f t="shared" si="12"/>
        <v>51</v>
      </c>
      <c r="B61" s="67">
        <v>92196</v>
      </c>
      <c r="C61" s="32">
        <f t="shared" si="7"/>
        <v>6.2367130895050193E-3</v>
      </c>
      <c r="D61" s="35">
        <f t="shared" si="8"/>
        <v>6.548548743980271E-3</v>
      </c>
      <c r="E61" s="36">
        <f t="shared" si="13"/>
        <v>91821.581676343485</v>
      </c>
      <c r="F61" s="35">
        <f t="shared" si="9"/>
        <v>6.5485487439801426E-3</v>
      </c>
      <c r="G61" s="36">
        <v>91821.581676343485</v>
      </c>
      <c r="H61" s="37">
        <f t="shared" si="10"/>
        <v>0</v>
      </c>
      <c r="I61" s="38">
        <f t="shared" si="11"/>
        <v>0</v>
      </c>
    </row>
    <row r="62" spans="1:9" x14ac:dyDescent="0.2">
      <c r="A62" s="29">
        <f t="shared" si="12"/>
        <v>52</v>
      </c>
      <c r="B62" s="67">
        <v>91621</v>
      </c>
      <c r="C62" s="32">
        <f t="shared" si="7"/>
        <v>6.67969133713886E-3</v>
      </c>
      <c r="D62" s="35">
        <f t="shared" si="8"/>
        <v>7.0136759039958032E-3</v>
      </c>
      <c r="E62" s="36">
        <f t="shared" si="13"/>
        <v>91220.283572986591</v>
      </c>
      <c r="F62" s="35">
        <f t="shared" si="9"/>
        <v>7.0136759039958196E-3</v>
      </c>
      <c r="G62" s="36">
        <v>91220.283572986591</v>
      </c>
      <c r="H62" s="37">
        <f t="shared" si="10"/>
        <v>0</v>
      </c>
      <c r="I62" s="38">
        <f t="shared" si="11"/>
        <v>0</v>
      </c>
    </row>
    <row r="63" spans="1:9" x14ac:dyDescent="0.2">
      <c r="A63" s="29">
        <f t="shared" si="12"/>
        <v>53</v>
      </c>
      <c r="B63" s="67">
        <v>91009</v>
      </c>
      <c r="C63" s="32">
        <f t="shared" si="7"/>
        <v>7.1531387005681069E-3</v>
      </c>
      <c r="D63" s="35">
        <f t="shared" si="8"/>
        <v>7.5107956355965127E-3</v>
      </c>
      <c r="E63" s="36">
        <f t="shared" si="13"/>
        <v>90580.494068135071</v>
      </c>
      <c r="F63" s="35">
        <f t="shared" si="9"/>
        <v>7.5107956355965344E-3</v>
      </c>
      <c r="G63" s="36">
        <v>90580.494068135071</v>
      </c>
      <c r="H63" s="37">
        <f t="shared" si="10"/>
        <v>0</v>
      </c>
      <c r="I63" s="38">
        <f t="shared" si="11"/>
        <v>0</v>
      </c>
    </row>
    <row r="64" spans="1:9" x14ac:dyDescent="0.2">
      <c r="A64" s="29">
        <f t="shared" si="12"/>
        <v>54</v>
      </c>
      <c r="B64" s="67">
        <v>90358</v>
      </c>
      <c r="C64" s="32">
        <f t="shared" si="7"/>
        <v>7.6694924633126105E-3</v>
      </c>
      <c r="D64" s="35">
        <f t="shared" si="8"/>
        <v>8.0529670864782407E-3</v>
      </c>
      <c r="E64" s="36">
        <f t="shared" si="13"/>
        <v>89900.162488617949</v>
      </c>
      <c r="F64" s="35">
        <f t="shared" si="9"/>
        <v>8.052967086478291E-3</v>
      </c>
      <c r="G64" s="36">
        <v>89900.162488617949</v>
      </c>
      <c r="H64" s="37">
        <f t="shared" si="10"/>
        <v>0</v>
      </c>
      <c r="I64" s="38">
        <f t="shared" si="11"/>
        <v>0</v>
      </c>
    </row>
    <row r="65" spans="1:9" x14ac:dyDescent="0.2">
      <c r="A65" s="29">
        <f t="shared" si="12"/>
        <v>55</v>
      </c>
      <c r="B65" s="67">
        <v>89665</v>
      </c>
      <c r="C65" s="32">
        <f t="shared" si="7"/>
        <v>8.2083310098700624E-3</v>
      </c>
      <c r="D65" s="35">
        <f t="shared" si="8"/>
        <v>8.6187475603635658E-3</v>
      </c>
      <c r="E65" s="36">
        <f t="shared" si="13"/>
        <v>89176.19943902806</v>
      </c>
      <c r="F65" s="35">
        <f t="shared" si="9"/>
        <v>8.6187475603635155E-3</v>
      </c>
      <c r="G65" s="36">
        <v>89176.19943902806</v>
      </c>
      <c r="H65" s="37">
        <f t="shared" si="10"/>
        <v>0</v>
      </c>
      <c r="I65" s="38">
        <f t="shared" si="11"/>
        <v>0</v>
      </c>
    </row>
    <row r="66" spans="1:9" x14ac:dyDescent="0.2">
      <c r="A66" s="29">
        <f t="shared" si="12"/>
        <v>56</v>
      </c>
      <c r="B66" s="67">
        <v>88929</v>
      </c>
      <c r="C66" s="32">
        <f t="shared" si="7"/>
        <v>8.7485522158126106E-3</v>
      </c>
      <c r="D66" s="35">
        <f t="shared" si="8"/>
        <v>9.1859798266032411E-3</v>
      </c>
      <c r="E66" s="36">
        <f t="shared" si="13"/>
        <v>88407.612287670447</v>
      </c>
      <c r="F66" s="35">
        <f t="shared" si="9"/>
        <v>9.1859798266031856E-3</v>
      </c>
      <c r="G66" s="36">
        <v>88407.612287670447</v>
      </c>
      <c r="H66" s="37">
        <f t="shared" si="10"/>
        <v>0</v>
      </c>
      <c r="I66" s="38">
        <f t="shared" si="11"/>
        <v>0</v>
      </c>
    </row>
    <row r="67" spans="1:9" x14ac:dyDescent="0.2">
      <c r="A67" s="29">
        <f t="shared" si="12"/>
        <v>57</v>
      </c>
      <c r="B67" s="67">
        <v>88151</v>
      </c>
      <c r="C67" s="32">
        <f t="shared" si="7"/>
        <v>9.3249083958207857E-3</v>
      </c>
      <c r="D67" s="35">
        <f t="shared" si="8"/>
        <v>9.791153815611825E-3</v>
      </c>
      <c r="E67" s="36">
        <f t="shared" si="13"/>
        <v>87595.501744677749</v>
      </c>
      <c r="F67" s="35">
        <f t="shared" si="9"/>
        <v>9.7911538156117972E-3</v>
      </c>
      <c r="G67" s="36">
        <v>87595.501744677749</v>
      </c>
      <c r="H67" s="37">
        <f t="shared" si="10"/>
        <v>0</v>
      </c>
      <c r="I67" s="38">
        <f t="shared" si="11"/>
        <v>0</v>
      </c>
    </row>
    <row r="68" spans="1:9" x14ac:dyDescent="0.2">
      <c r="A68" s="29">
        <f t="shared" si="12"/>
        <v>58</v>
      </c>
      <c r="B68" s="67">
        <v>87329</v>
      </c>
      <c r="C68" s="32">
        <f t="shared" si="7"/>
        <v>9.9508754251165232E-3</v>
      </c>
      <c r="D68" s="35">
        <f t="shared" si="8"/>
        <v>1.0448419196372349E-2</v>
      </c>
      <c r="E68" s="36">
        <f t="shared" si="13"/>
        <v>86737.840713539917</v>
      </c>
      <c r="F68" s="35">
        <f t="shared" si="9"/>
        <v>1.0448419196372294E-2</v>
      </c>
      <c r="G68" s="36">
        <v>86737.840713539917</v>
      </c>
      <c r="H68" s="37">
        <f t="shared" si="10"/>
        <v>0</v>
      </c>
      <c r="I68" s="38">
        <f t="shared" si="11"/>
        <v>0</v>
      </c>
    </row>
    <row r="69" spans="1:9" x14ac:dyDescent="0.2">
      <c r="A69" s="29">
        <f t="shared" si="12"/>
        <v>59</v>
      </c>
      <c r="B69" s="67">
        <v>86460</v>
      </c>
      <c r="C69" s="32">
        <f t="shared" si="7"/>
        <v>1.0663890816562605E-2</v>
      </c>
      <c r="D69" s="35">
        <f t="shared" si="8"/>
        <v>1.1197085357390736E-2</v>
      </c>
      <c r="E69" s="36">
        <f t="shared" si="13"/>
        <v>85831.567393576683</v>
      </c>
      <c r="F69" s="35">
        <f t="shared" si="9"/>
        <v>1.1197085357390613E-2</v>
      </c>
      <c r="G69" s="36">
        <v>85831.567393576683</v>
      </c>
      <c r="H69" s="37">
        <f t="shared" si="10"/>
        <v>0</v>
      </c>
      <c r="I69" s="38">
        <f t="shared" si="11"/>
        <v>0</v>
      </c>
    </row>
    <row r="70" spans="1:9" x14ac:dyDescent="0.2">
      <c r="A70" s="29">
        <f t="shared" si="12"/>
        <v>60</v>
      </c>
      <c r="B70" s="67">
        <v>85538</v>
      </c>
      <c r="C70" s="32">
        <f t="shared" si="7"/>
        <v>1.1456896350160117E-2</v>
      </c>
      <c r="D70" s="35">
        <f t="shared" si="8"/>
        <v>1.2029741167668124E-2</v>
      </c>
      <c r="E70" s="36">
        <f t="shared" si="13"/>
        <v>84870.504007112177</v>
      </c>
      <c r="F70" s="35">
        <f t="shared" si="9"/>
        <v>1.2029741167668084E-2</v>
      </c>
      <c r="G70" s="36">
        <v>84870.504007112177</v>
      </c>
      <c r="H70" s="37">
        <f t="shared" si="10"/>
        <v>0</v>
      </c>
      <c r="I70" s="38">
        <f t="shared" si="11"/>
        <v>0</v>
      </c>
    </row>
    <row r="71" spans="1:9" x14ac:dyDescent="0.2">
      <c r="A71" s="29">
        <f t="shared" si="12"/>
        <v>61</v>
      </c>
      <c r="B71" s="67">
        <v>84558</v>
      </c>
      <c r="C71" s="32">
        <f t="shared" si="7"/>
        <v>1.2346555027318518E-2</v>
      </c>
      <c r="D71" s="35">
        <f t="shared" si="8"/>
        <v>1.2963882778684445E-2</v>
      </c>
      <c r="E71" s="36">
        <f t="shared" si="13"/>
        <v>83849.53381113708</v>
      </c>
      <c r="F71" s="35">
        <f t="shared" si="9"/>
        <v>1.2963882778684321E-2</v>
      </c>
      <c r="G71" s="36">
        <v>83849.533811137066</v>
      </c>
      <c r="H71" s="37">
        <f t="shared" si="10"/>
        <v>0</v>
      </c>
      <c r="I71" s="38">
        <f t="shared" si="11"/>
        <v>0</v>
      </c>
    </row>
    <row r="72" spans="1:9" x14ac:dyDescent="0.2">
      <c r="A72" s="29">
        <f t="shared" si="12"/>
        <v>62</v>
      </c>
      <c r="B72" s="67">
        <v>83514</v>
      </c>
      <c r="C72" s="32">
        <f t="shared" si="7"/>
        <v>1.3351054912948745E-2</v>
      </c>
      <c r="D72" s="35">
        <f t="shared" si="8"/>
        <v>1.4018607658596183E-2</v>
      </c>
      <c r="E72" s="36">
        <f t="shared" si="13"/>
        <v>82762.518283762169</v>
      </c>
      <c r="F72" s="35">
        <f t="shared" si="9"/>
        <v>1.4018607658596194E-2</v>
      </c>
      <c r="G72" s="36">
        <v>82762.51828376214</v>
      </c>
      <c r="H72" s="37">
        <f t="shared" si="10"/>
        <v>0</v>
      </c>
      <c r="I72" s="38">
        <f t="shared" si="11"/>
        <v>0</v>
      </c>
    </row>
    <row r="73" spans="1:9" x14ac:dyDescent="0.2">
      <c r="A73" s="29">
        <f t="shared" si="12"/>
        <v>63</v>
      </c>
      <c r="B73" s="67">
        <v>82399</v>
      </c>
      <c r="C73" s="32">
        <f t="shared" si="7"/>
        <v>1.4478331047706905E-2</v>
      </c>
      <c r="D73" s="35">
        <f t="shared" si="8"/>
        <v>1.5202247600092251E-2</v>
      </c>
      <c r="E73" s="36">
        <f t="shared" si="13"/>
        <v>81602.303011104712</v>
      </c>
      <c r="F73" s="35">
        <f t="shared" si="9"/>
        <v>1.5202247600092145E-2</v>
      </c>
      <c r="G73" s="36">
        <v>81602.303011104683</v>
      </c>
      <c r="H73" s="37">
        <f t="shared" si="10"/>
        <v>0</v>
      </c>
      <c r="I73" s="38">
        <f t="shared" si="11"/>
        <v>0</v>
      </c>
    </row>
    <row r="74" spans="1:9" x14ac:dyDescent="0.2">
      <c r="A74" s="29">
        <f t="shared" si="12"/>
        <v>64</v>
      </c>
      <c r="B74" s="67">
        <v>81206</v>
      </c>
      <c r="C74" s="32">
        <f t="shared" ref="C74:C105" si="14">1-B75/B74</f>
        <v>1.5762382089993365E-2</v>
      </c>
      <c r="D74" s="35">
        <f t="shared" ref="D74:D105" si="15">C74*(1-$E$2)</f>
        <v>1.6550501194493035E-2</v>
      </c>
      <c r="E74" s="36">
        <f t="shared" si="13"/>
        <v>80361.76459599215</v>
      </c>
      <c r="F74" s="35">
        <f t="shared" ref="F74:F105" si="16">1-E75/E74</f>
        <v>1.6550501194493084E-2</v>
      </c>
      <c r="G74" s="36">
        <v>80361.764595992121</v>
      </c>
      <c r="H74" s="37">
        <f t="shared" ref="H74:H105" si="17">(ABS(F74-D74)&gt;$E$3)*1</f>
        <v>0</v>
      </c>
      <c r="I74" s="38">
        <f t="shared" ref="I74:I105" si="18">(ABS(G74-E74)&gt;$E$3)*1</f>
        <v>0</v>
      </c>
    </row>
    <row r="75" spans="1:9" x14ac:dyDescent="0.2">
      <c r="A75" s="29">
        <f t="shared" ref="A75:A106" si="19">A74+1</f>
        <v>65</v>
      </c>
      <c r="B75" s="67">
        <v>79926</v>
      </c>
      <c r="C75" s="32">
        <f t="shared" si="14"/>
        <v>1.719090158396519E-2</v>
      </c>
      <c r="D75" s="35">
        <f t="shared" si="15"/>
        <v>1.8050446663163449E-2</v>
      </c>
      <c r="E75" s="36">
        <f t="shared" ref="E75:E106" si="20">E74*(1-D74)</f>
        <v>79031.73711505461</v>
      </c>
      <c r="F75" s="35">
        <f t="shared" si="16"/>
        <v>1.8050446663163355E-2</v>
      </c>
      <c r="G75" s="36">
        <v>79031.73711505458</v>
      </c>
      <c r="H75" s="37">
        <f t="shared" si="17"/>
        <v>0</v>
      </c>
      <c r="I75" s="38">
        <f t="shared" si="18"/>
        <v>0</v>
      </c>
    </row>
    <row r="76" spans="1:9" x14ac:dyDescent="0.2">
      <c r="A76" s="29">
        <f t="shared" si="19"/>
        <v>66</v>
      </c>
      <c r="B76" s="67">
        <v>78552</v>
      </c>
      <c r="C76" s="32">
        <f t="shared" si="14"/>
        <v>1.8764639983705034E-2</v>
      </c>
      <c r="D76" s="35">
        <f t="shared" si="15"/>
        <v>1.9702871982890287E-2</v>
      </c>
      <c r="E76" s="36">
        <f t="shared" si="20"/>
        <v>77605.178959562167</v>
      </c>
      <c r="F76" s="35">
        <f t="shared" si="16"/>
        <v>1.9702871982890335E-2</v>
      </c>
      <c r="G76" s="36">
        <v>77605.178959562138</v>
      </c>
      <c r="H76" s="37">
        <f t="shared" si="17"/>
        <v>0</v>
      </c>
      <c r="I76" s="38">
        <f t="shared" si="18"/>
        <v>0</v>
      </c>
    </row>
    <row r="77" spans="1:9" x14ac:dyDescent="0.2">
      <c r="A77" s="29">
        <f t="shared" si="19"/>
        <v>67</v>
      </c>
      <c r="B77" s="67">
        <v>77078</v>
      </c>
      <c r="C77" s="32">
        <f t="shared" si="14"/>
        <v>2.045979397493447E-2</v>
      </c>
      <c r="D77" s="35">
        <f t="shared" si="15"/>
        <v>2.1482783673681196E-2</v>
      </c>
      <c r="E77" s="36">
        <f t="shared" si="20"/>
        <v>76076.13405331262</v>
      </c>
      <c r="F77" s="35">
        <f t="shared" si="16"/>
        <v>2.1482783673681172E-2</v>
      </c>
      <c r="G77" s="36">
        <v>76076.134053312591</v>
      </c>
      <c r="H77" s="37">
        <f t="shared" si="17"/>
        <v>0</v>
      </c>
      <c r="I77" s="38">
        <f t="shared" si="18"/>
        <v>0</v>
      </c>
    </row>
    <row r="78" spans="1:9" x14ac:dyDescent="0.2">
      <c r="A78" s="29">
        <f t="shared" si="19"/>
        <v>68</v>
      </c>
      <c r="B78" s="67">
        <v>75501</v>
      </c>
      <c r="C78" s="32">
        <f t="shared" si="14"/>
        <v>2.2317585197547007E-2</v>
      </c>
      <c r="D78" s="35">
        <f t="shared" si="15"/>
        <v>2.343346445742436E-2</v>
      </c>
      <c r="E78" s="36">
        <f t="shared" si="20"/>
        <v>74441.806922715332</v>
      </c>
      <c r="F78" s="35">
        <f t="shared" si="16"/>
        <v>2.3433464457424225E-2</v>
      </c>
      <c r="G78" s="36">
        <v>74441.806922715303</v>
      </c>
      <c r="H78" s="37">
        <f t="shared" si="17"/>
        <v>0</v>
      </c>
      <c r="I78" s="38">
        <f t="shared" si="18"/>
        <v>0</v>
      </c>
    </row>
    <row r="79" spans="1:9" x14ac:dyDescent="0.2">
      <c r="A79" s="29">
        <f t="shared" si="19"/>
        <v>69</v>
      </c>
      <c r="B79" s="67">
        <v>73816</v>
      </c>
      <c r="C79" s="32">
        <f t="shared" si="14"/>
        <v>2.4344315595534849E-2</v>
      </c>
      <c r="D79" s="35">
        <f t="shared" si="15"/>
        <v>2.5561531375311593E-2</v>
      </c>
      <c r="E79" s="36">
        <f t="shared" si="20"/>
        <v>72697.377486045443</v>
      </c>
      <c r="F79" s="35">
        <f t="shared" si="16"/>
        <v>2.5561531375311475E-2</v>
      </c>
      <c r="G79" s="36">
        <v>72697.3774860454</v>
      </c>
      <c r="H79" s="37">
        <f t="shared" si="17"/>
        <v>0</v>
      </c>
      <c r="I79" s="38">
        <f t="shared" si="18"/>
        <v>0</v>
      </c>
    </row>
    <row r="80" spans="1:9" x14ac:dyDescent="0.2">
      <c r="A80" s="29">
        <f t="shared" si="19"/>
        <v>70</v>
      </c>
      <c r="B80" s="67">
        <v>72019</v>
      </c>
      <c r="C80" s="32">
        <f t="shared" si="14"/>
        <v>2.6576320137741472E-2</v>
      </c>
      <c r="D80" s="35">
        <f t="shared" si="15"/>
        <v>2.7905136144628546E-2</v>
      </c>
      <c r="E80" s="36">
        <f t="shared" si="20"/>
        <v>70839.121190533027</v>
      </c>
      <c r="F80" s="35">
        <f t="shared" si="16"/>
        <v>2.7905136144628639E-2</v>
      </c>
      <c r="G80" s="36">
        <v>70839.121190532984</v>
      </c>
      <c r="H80" s="37">
        <f t="shared" si="17"/>
        <v>0</v>
      </c>
      <c r="I80" s="38">
        <f t="shared" si="18"/>
        <v>0</v>
      </c>
    </row>
    <row r="81" spans="1:9" x14ac:dyDescent="0.2">
      <c r="A81" s="29">
        <f t="shared" si="19"/>
        <v>71</v>
      </c>
      <c r="B81" s="67">
        <v>70105</v>
      </c>
      <c r="C81" s="32">
        <f t="shared" si="14"/>
        <v>2.9027886741316622E-2</v>
      </c>
      <c r="D81" s="35">
        <f t="shared" si="15"/>
        <v>3.0479281078382454E-2</v>
      </c>
      <c r="E81" s="36">
        <f t="shared" si="20"/>
        <v>68862.345869345358</v>
      </c>
      <c r="F81" s="35">
        <f t="shared" si="16"/>
        <v>3.0479281078382492E-2</v>
      </c>
      <c r="G81" s="36">
        <v>68862.345869345329</v>
      </c>
      <c r="H81" s="37">
        <f t="shared" si="17"/>
        <v>0</v>
      </c>
      <c r="I81" s="38">
        <f t="shared" si="18"/>
        <v>0</v>
      </c>
    </row>
    <row r="82" spans="1:9" x14ac:dyDescent="0.2">
      <c r="A82" s="29">
        <f t="shared" si="19"/>
        <v>72</v>
      </c>
      <c r="B82" s="67">
        <v>68070</v>
      </c>
      <c r="C82" s="32">
        <f t="shared" si="14"/>
        <v>3.1673277508447173E-2</v>
      </c>
      <c r="D82" s="35">
        <f t="shared" si="15"/>
        <v>3.3256941383869532E-2</v>
      </c>
      <c r="E82" s="36">
        <f t="shared" si="20"/>
        <v>66763.47107387679</v>
      </c>
      <c r="F82" s="35">
        <f t="shared" si="16"/>
        <v>3.3256941383869476E-2</v>
      </c>
      <c r="G82" s="36">
        <v>66763.471073876761</v>
      </c>
      <c r="H82" s="37">
        <f t="shared" si="17"/>
        <v>0</v>
      </c>
      <c r="I82" s="38">
        <f t="shared" si="18"/>
        <v>0</v>
      </c>
    </row>
    <row r="83" spans="1:9" x14ac:dyDescent="0.2">
      <c r="A83" s="29">
        <f t="shared" si="19"/>
        <v>73</v>
      </c>
      <c r="B83" s="67">
        <v>65914</v>
      </c>
      <c r="C83" s="32">
        <f t="shared" si="14"/>
        <v>3.4545013199016927E-2</v>
      </c>
      <c r="D83" s="35">
        <f t="shared" si="15"/>
        <v>3.6272263858967778E-2</v>
      </c>
      <c r="E83" s="36">
        <f t="shared" si="20"/>
        <v>64543.122229789202</v>
      </c>
      <c r="F83" s="35">
        <f t="shared" si="16"/>
        <v>3.6272263858967757E-2</v>
      </c>
      <c r="G83" s="36">
        <v>64543.122229789173</v>
      </c>
      <c r="H83" s="37">
        <f t="shared" si="17"/>
        <v>0</v>
      </c>
      <c r="I83" s="38">
        <f t="shared" si="18"/>
        <v>0</v>
      </c>
    </row>
    <row r="84" spans="1:9" x14ac:dyDescent="0.2">
      <c r="A84" s="29">
        <f t="shared" si="19"/>
        <v>74</v>
      </c>
      <c r="B84" s="67">
        <v>63637</v>
      </c>
      <c r="C84" s="32">
        <f t="shared" si="14"/>
        <v>3.768248031805399E-2</v>
      </c>
      <c r="D84" s="35">
        <f t="shared" si="15"/>
        <v>3.9566604333956694E-2</v>
      </c>
      <c r="E84" s="36">
        <f t="shared" si="20"/>
        <v>62201.997069988684</v>
      </c>
      <c r="F84" s="35">
        <f t="shared" si="16"/>
        <v>3.9566604333956645E-2</v>
      </c>
      <c r="G84" s="36">
        <v>62201.997069988654</v>
      </c>
      <c r="H84" s="37">
        <f t="shared" si="17"/>
        <v>0</v>
      </c>
      <c r="I84" s="38">
        <f t="shared" si="18"/>
        <v>0</v>
      </c>
    </row>
    <row r="85" spans="1:9" x14ac:dyDescent="0.2">
      <c r="A85" s="29">
        <f t="shared" si="19"/>
        <v>75</v>
      </c>
      <c r="B85" s="67">
        <v>61239</v>
      </c>
      <c r="C85" s="32">
        <f t="shared" si="14"/>
        <v>4.1166576854618775E-2</v>
      </c>
      <c r="D85" s="35">
        <f t="shared" si="15"/>
        <v>4.3224905697349714E-2</v>
      </c>
      <c r="E85" s="36">
        <f t="shared" si="20"/>
        <v>59740.875263138514</v>
      </c>
      <c r="F85" s="35">
        <f t="shared" si="16"/>
        <v>4.3224905697349714E-2</v>
      </c>
      <c r="G85" s="36">
        <v>59740.875263138485</v>
      </c>
      <c r="H85" s="37">
        <f t="shared" si="17"/>
        <v>0</v>
      </c>
      <c r="I85" s="38">
        <f t="shared" si="18"/>
        <v>0</v>
      </c>
    </row>
    <row r="86" spans="1:9" x14ac:dyDescent="0.2">
      <c r="A86" s="29">
        <f t="shared" si="19"/>
        <v>76</v>
      </c>
      <c r="B86" s="67">
        <v>58718</v>
      </c>
      <c r="C86" s="32">
        <f t="shared" si="14"/>
        <v>4.5062842739875375E-2</v>
      </c>
      <c r="D86" s="35">
        <f t="shared" si="15"/>
        <v>4.7315984876869145E-2</v>
      </c>
      <c r="E86" s="36">
        <f t="shared" si="20"/>
        <v>57158.581563612221</v>
      </c>
      <c r="F86" s="35">
        <f t="shared" si="16"/>
        <v>4.7315984876869166E-2</v>
      </c>
      <c r="G86" s="36">
        <v>57158.581563612192</v>
      </c>
      <c r="H86" s="37">
        <f t="shared" si="17"/>
        <v>0</v>
      </c>
      <c r="I86" s="38">
        <f t="shared" si="18"/>
        <v>0</v>
      </c>
    </row>
    <row r="87" spans="1:9" x14ac:dyDescent="0.2">
      <c r="A87" s="29">
        <f t="shared" si="19"/>
        <v>77</v>
      </c>
      <c r="B87" s="67">
        <v>56072</v>
      </c>
      <c r="C87" s="32">
        <f t="shared" si="14"/>
        <v>4.9382936224853791E-2</v>
      </c>
      <c r="D87" s="35">
        <f t="shared" si="15"/>
        <v>5.185208303609648E-2</v>
      </c>
      <c r="E87" s="36">
        <f t="shared" si="20"/>
        <v>54454.066982765049</v>
      </c>
      <c r="F87" s="35">
        <f t="shared" si="16"/>
        <v>5.1852083036096452E-2</v>
      </c>
      <c r="G87" s="36">
        <v>54454.066982765027</v>
      </c>
      <c r="H87" s="37">
        <f t="shared" si="17"/>
        <v>0</v>
      </c>
      <c r="I87" s="38">
        <f t="shared" si="18"/>
        <v>0</v>
      </c>
    </row>
    <row r="88" spans="1:9" x14ac:dyDescent="0.2">
      <c r="A88" s="29">
        <f t="shared" si="19"/>
        <v>78</v>
      </c>
      <c r="B88" s="67">
        <v>53303</v>
      </c>
      <c r="C88" s="32">
        <f t="shared" si="14"/>
        <v>5.4255858019248482E-2</v>
      </c>
      <c r="D88" s="35">
        <f t="shared" si="15"/>
        <v>5.696865092021091E-2</v>
      </c>
      <c r="E88" s="36">
        <f t="shared" si="20"/>
        <v>51630.510179921555</v>
      </c>
      <c r="F88" s="35">
        <f t="shared" si="16"/>
        <v>5.6968650920210862E-2</v>
      </c>
      <c r="G88" s="36">
        <v>51630.510179921534</v>
      </c>
      <c r="H88" s="37">
        <f t="shared" si="17"/>
        <v>0</v>
      </c>
      <c r="I88" s="38">
        <f t="shared" si="18"/>
        <v>0</v>
      </c>
    </row>
    <row r="89" spans="1:9" x14ac:dyDescent="0.2">
      <c r="A89" s="29">
        <f t="shared" si="19"/>
        <v>79</v>
      </c>
      <c r="B89" s="67">
        <v>50411</v>
      </c>
      <c r="C89" s="32">
        <f t="shared" si="14"/>
        <v>5.9927396798317822E-2</v>
      </c>
      <c r="D89" s="35">
        <f t="shared" si="15"/>
        <v>6.2923766638233722E-2</v>
      </c>
      <c r="E89" s="36">
        <f t="shared" si="20"/>
        <v>48689.189668649211</v>
      </c>
      <c r="F89" s="35">
        <f t="shared" si="16"/>
        <v>6.2923766638233625E-2</v>
      </c>
      <c r="G89" s="36">
        <v>48689.189668649189</v>
      </c>
      <c r="H89" s="37">
        <f t="shared" si="17"/>
        <v>0</v>
      </c>
      <c r="I89" s="38">
        <f t="shared" si="18"/>
        <v>0</v>
      </c>
    </row>
    <row r="90" spans="1:9" x14ac:dyDescent="0.2">
      <c r="A90" s="29">
        <f t="shared" si="19"/>
        <v>80</v>
      </c>
      <c r="B90" s="67">
        <v>47390</v>
      </c>
      <c r="C90" s="32">
        <f t="shared" si="14"/>
        <v>6.6596328339312061E-2</v>
      </c>
      <c r="D90" s="35">
        <f t="shared" si="15"/>
        <v>6.9926144756277661E-2</v>
      </c>
      <c r="E90" s="36">
        <f t="shared" si="20"/>
        <v>45625.48246013443</v>
      </c>
      <c r="F90" s="35">
        <f t="shared" si="16"/>
        <v>6.9926144756277675E-2</v>
      </c>
      <c r="G90" s="36">
        <v>45625.482460134408</v>
      </c>
      <c r="H90" s="37">
        <f t="shared" si="17"/>
        <v>0</v>
      </c>
      <c r="I90" s="38">
        <f t="shared" si="18"/>
        <v>0</v>
      </c>
    </row>
    <row r="91" spans="1:9" x14ac:dyDescent="0.2">
      <c r="A91" s="29">
        <f t="shared" si="19"/>
        <v>81</v>
      </c>
      <c r="B91" s="67">
        <v>44234</v>
      </c>
      <c r="C91" s="32">
        <f t="shared" si="14"/>
        <v>7.4331961839309124E-2</v>
      </c>
      <c r="D91" s="35">
        <f t="shared" si="15"/>
        <v>7.8048559931274589E-2</v>
      </c>
      <c r="E91" s="36">
        <f t="shared" si="20"/>
        <v>42435.06836905206</v>
      </c>
      <c r="F91" s="35">
        <f t="shared" si="16"/>
        <v>7.8048559931274575E-2</v>
      </c>
      <c r="G91" s="36">
        <v>42435.068369052038</v>
      </c>
      <c r="H91" s="37">
        <f t="shared" si="17"/>
        <v>0</v>
      </c>
      <c r="I91" s="38">
        <f t="shared" si="18"/>
        <v>0</v>
      </c>
    </row>
    <row r="92" spans="1:9" x14ac:dyDescent="0.2">
      <c r="A92" s="29">
        <f t="shared" si="19"/>
        <v>82</v>
      </c>
      <c r="B92" s="67">
        <v>40946</v>
      </c>
      <c r="C92" s="32">
        <f t="shared" si="14"/>
        <v>8.3036194011625097E-2</v>
      </c>
      <c r="D92" s="35">
        <f t="shared" si="15"/>
        <v>8.7188003712206349E-2</v>
      </c>
      <c r="E92" s="36">
        <f t="shared" si="20"/>
        <v>39123.072392262366</v>
      </c>
      <c r="F92" s="35">
        <f t="shared" si="16"/>
        <v>8.7188003712206363E-2</v>
      </c>
      <c r="G92" s="36">
        <v>39123.072392262344</v>
      </c>
      <c r="H92" s="37">
        <f t="shared" si="17"/>
        <v>0</v>
      </c>
      <c r="I92" s="38">
        <f t="shared" si="18"/>
        <v>0</v>
      </c>
    </row>
    <row r="93" spans="1:9" x14ac:dyDescent="0.2">
      <c r="A93" s="29">
        <f t="shared" si="19"/>
        <v>83</v>
      </c>
      <c r="B93" s="67">
        <v>37546</v>
      </c>
      <c r="C93" s="32">
        <f t="shared" si="14"/>
        <v>9.2526500825653835E-2</v>
      </c>
      <c r="D93" s="35">
        <f t="shared" si="15"/>
        <v>9.7152825866936535E-2</v>
      </c>
      <c r="E93" s="36">
        <f t="shared" si="20"/>
        <v>35712.009811292875</v>
      </c>
      <c r="F93" s="35">
        <f t="shared" si="16"/>
        <v>9.7152825866936521E-2</v>
      </c>
      <c r="G93" s="36">
        <v>35712.009811292861</v>
      </c>
      <c r="H93" s="37">
        <f t="shared" si="17"/>
        <v>0</v>
      </c>
      <c r="I93" s="38">
        <f t="shared" si="18"/>
        <v>0</v>
      </c>
    </row>
    <row r="94" spans="1:9" x14ac:dyDescent="0.2">
      <c r="A94" s="29">
        <f t="shared" si="19"/>
        <v>84</v>
      </c>
      <c r="B94" s="67">
        <v>34072</v>
      </c>
      <c r="C94" s="32">
        <f t="shared" si="14"/>
        <v>0.1026355952101432</v>
      </c>
      <c r="D94" s="35">
        <f t="shared" si="15"/>
        <v>0.10776737497065036</v>
      </c>
      <c r="E94" s="36">
        <f t="shared" si="20"/>
        <v>32242.487140738009</v>
      </c>
      <c r="F94" s="35">
        <f t="shared" si="16"/>
        <v>0.10776737497065036</v>
      </c>
      <c r="G94" s="36">
        <v>32242.487140737994</v>
      </c>
      <c r="H94" s="37">
        <f t="shared" si="17"/>
        <v>0</v>
      </c>
      <c r="I94" s="38">
        <f t="shared" si="18"/>
        <v>0</v>
      </c>
    </row>
    <row r="95" spans="1:9" x14ac:dyDescent="0.2">
      <c r="A95" s="29">
        <f t="shared" si="19"/>
        <v>85</v>
      </c>
      <c r="B95" s="67">
        <v>30575</v>
      </c>
      <c r="C95" s="32">
        <f t="shared" si="14"/>
        <v>0.11352412101390019</v>
      </c>
      <c r="D95" s="35">
        <f t="shared" si="15"/>
        <v>0.11920032706459521</v>
      </c>
      <c r="E95" s="36">
        <f t="shared" si="20"/>
        <v>28767.798939055723</v>
      </c>
      <c r="F95" s="35">
        <f t="shared" si="16"/>
        <v>0.11920032706459516</v>
      </c>
      <c r="G95" s="36">
        <v>28767.798939055709</v>
      </c>
      <c r="H95" s="37">
        <f t="shared" si="17"/>
        <v>0</v>
      </c>
      <c r="I95" s="38">
        <f t="shared" si="18"/>
        <v>0</v>
      </c>
    </row>
    <row r="96" spans="1:9" x14ac:dyDescent="0.2">
      <c r="A96" s="29">
        <f t="shared" si="19"/>
        <v>86</v>
      </c>
      <c r="B96" s="67">
        <v>27104</v>
      </c>
      <c r="C96" s="32">
        <f t="shared" si="14"/>
        <v>0.12533205430932703</v>
      </c>
      <c r="D96" s="35">
        <f t="shared" si="15"/>
        <v>0.1315986570247934</v>
      </c>
      <c r="E96" s="36">
        <f t="shared" si="20"/>
        <v>25338.667896591767</v>
      </c>
      <c r="F96" s="35">
        <f t="shared" si="16"/>
        <v>0.13159865702479334</v>
      </c>
      <c r="G96" s="36">
        <v>25338.667896591753</v>
      </c>
      <c r="H96" s="37">
        <f t="shared" si="17"/>
        <v>0</v>
      </c>
      <c r="I96" s="38">
        <f t="shared" si="18"/>
        <v>0</v>
      </c>
    </row>
    <row r="97" spans="1:9" x14ac:dyDescent="0.2">
      <c r="A97" s="29">
        <f t="shared" si="19"/>
        <v>87</v>
      </c>
      <c r="B97" s="67">
        <v>23707</v>
      </c>
      <c r="C97" s="32">
        <f t="shared" si="14"/>
        <v>0.13801830682920657</v>
      </c>
      <c r="D97" s="35">
        <f t="shared" si="15"/>
        <v>0.14491922217066691</v>
      </c>
      <c r="E97" s="36">
        <f t="shared" si="20"/>
        <v>22004.133230603045</v>
      </c>
      <c r="F97" s="35">
        <f t="shared" si="16"/>
        <v>0.14491922217066688</v>
      </c>
      <c r="G97" s="36">
        <v>22004.133230603031</v>
      </c>
      <c r="H97" s="37">
        <f t="shared" si="17"/>
        <v>0</v>
      </c>
      <c r="I97" s="38">
        <f t="shared" si="18"/>
        <v>0</v>
      </c>
    </row>
    <row r="98" spans="1:9" x14ac:dyDescent="0.2">
      <c r="A98" s="29">
        <f t="shared" si="19"/>
        <v>88</v>
      </c>
      <c r="B98" s="67">
        <v>20435</v>
      </c>
      <c r="C98" s="32">
        <f t="shared" si="14"/>
        <v>0.15155370687545877</v>
      </c>
      <c r="D98" s="35">
        <f t="shared" si="15"/>
        <v>0.15913139221923173</v>
      </c>
      <c r="E98" s="36">
        <f t="shared" si="20"/>
        <v>18815.311358284329</v>
      </c>
      <c r="F98" s="35">
        <f t="shared" si="16"/>
        <v>0.15913139221923167</v>
      </c>
      <c r="G98" s="36">
        <v>18815.311358284314</v>
      </c>
      <c r="H98" s="37">
        <f t="shared" si="17"/>
        <v>0</v>
      </c>
      <c r="I98" s="38">
        <f t="shared" si="18"/>
        <v>0</v>
      </c>
    </row>
    <row r="99" spans="1:9" x14ac:dyDescent="0.2">
      <c r="A99" s="29">
        <f t="shared" si="19"/>
        <v>89</v>
      </c>
      <c r="B99" s="67">
        <v>17338</v>
      </c>
      <c r="C99" s="32">
        <f t="shared" si="14"/>
        <v>0.16576306379051797</v>
      </c>
      <c r="D99" s="35">
        <f t="shared" si="15"/>
        <v>0.17405121698004389</v>
      </c>
      <c r="E99" s="36">
        <f t="shared" si="20"/>
        <v>15821.204666802221</v>
      </c>
      <c r="F99" s="35">
        <f t="shared" si="16"/>
        <v>0.17405121698004389</v>
      </c>
      <c r="G99" s="36">
        <v>15821.204666802209</v>
      </c>
      <c r="H99" s="37">
        <f t="shared" si="17"/>
        <v>0</v>
      </c>
      <c r="I99" s="38">
        <f t="shared" si="18"/>
        <v>0</v>
      </c>
    </row>
    <row r="100" spans="1:9" x14ac:dyDescent="0.2">
      <c r="A100" s="29">
        <f t="shared" si="19"/>
        <v>90</v>
      </c>
      <c r="B100" s="67">
        <v>14464</v>
      </c>
      <c r="C100" s="32">
        <f t="shared" si="14"/>
        <v>0.18058628318584069</v>
      </c>
      <c r="D100" s="35">
        <f t="shared" si="15"/>
        <v>0.18961559734513272</v>
      </c>
      <c r="E100" s="36">
        <f t="shared" si="20"/>
        <v>13067.504740454944</v>
      </c>
      <c r="F100" s="35">
        <f t="shared" si="16"/>
        <v>0.18961559734513278</v>
      </c>
      <c r="G100" s="36">
        <v>13067.504740454935</v>
      </c>
      <c r="H100" s="37">
        <f t="shared" si="17"/>
        <v>0</v>
      </c>
      <c r="I100" s="38">
        <f t="shared" si="18"/>
        <v>0</v>
      </c>
    </row>
    <row r="101" spans="1:9" x14ac:dyDescent="0.2">
      <c r="A101" s="29">
        <f t="shared" si="19"/>
        <v>91</v>
      </c>
      <c r="B101" s="67">
        <v>11852</v>
      </c>
      <c r="C101" s="32">
        <f t="shared" si="14"/>
        <v>0.19625379682753963</v>
      </c>
      <c r="D101" s="35">
        <f t="shared" si="15"/>
        <v>0.20606648666891661</v>
      </c>
      <c r="E101" s="36">
        <f t="shared" si="20"/>
        <v>10589.702023283226</v>
      </c>
      <c r="F101" s="35">
        <f t="shared" si="16"/>
        <v>0.20606648666891658</v>
      </c>
      <c r="G101" s="36">
        <v>10589.702023283218</v>
      </c>
      <c r="H101" s="37">
        <f t="shared" si="17"/>
        <v>0</v>
      </c>
      <c r="I101" s="38">
        <f t="shared" si="18"/>
        <v>0</v>
      </c>
    </row>
    <row r="102" spans="1:9" x14ac:dyDescent="0.2">
      <c r="A102" s="29">
        <f t="shared" si="19"/>
        <v>92</v>
      </c>
      <c r="B102" s="67">
        <v>9526</v>
      </c>
      <c r="C102" s="32">
        <f t="shared" si="14"/>
        <v>0.21289103506193574</v>
      </c>
      <c r="D102" s="35">
        <f t="shared" si="15"/>
        <v>0.22353558681503255</v>
      </c>
      <c r="E102" s="36">
        <f t="shared" si="20"/>
        <v>8407.5193324745342</v>
      </c>
      <c r="F102" s="35">
        <f t="shared" si="16"/>
        <v>0.22353558681503261</v>
      </c>
      <c r="G102" s="36">
        <v>8407.5193324745269</v>
      </c>
      <c r="H102" s="37">
        <f t="shared" si="17"/>
        <v>0</v>
      </c>
      <c r="I102" s="38">
        <f t="shared" si="18"/>
        <v>0</v>
      </c>
    </row>
    <row r="103" spans="1:9" x14ac:dyDescent="0.2">
      <c r="A103" s="29">
        <f t="shared" si="19"/>
        <v>93</v>
      </c>
      <c r="B103" s="67">
        <v>7498</v>
      </c>
      <c r="C103" s="32">
        <f t="shared" si="14"/>
        <v>0.23059482528674313</v>
      </c>
      <c r="D103" s="35">
        <f t="shared" si="15"/>
        <v>0.24212456655108031</v>
      </c>
      <c r="E103" s="36">
        <f t="shared" si="20"/>
        <v>6528.1395648311081</v>
      </c>
      <c r="F103" s="35">
        <f t="shared" si="16"/>
        <v>0.24212456655108028</v>
      </c>
      <c r="G103" s="36">
        <v>6528.1395648311027</v>
      </c>
      <c r="H103" s="37">
        <f t="shared" si="17"/>
        <v>0</v>
      </c>
      <c r="I103" s="38">
        <f t="shared" si="18"/>
        <v>0</v>
      </c>
    </row>
    <row r="104" spans="1:9" x14ac:dyDescent="0.2">
      <c r="A104" s="29">
        <f t="shared" si="19"/>
        <v>94</v>
      </c>
      <c r="B104" s="67">
        <v>5769</v>
      </c>
      <c r="C104" s="32">
        <f t="shared" si="14"/>
        <v>0.24926330386548801</v>
      </c>
      <c r="D104" s="35">
        <f t="shared" si="15"/>
        <v>0.2617264690587624</v>
      </c>
      <c r="E104" s="36">
        <f t="shared" si="20"/>
        <v>4947.516602311418</v>
      </c>
      <c r="F104" s="35">
        <f t="shared" si="16"/>
        <v>0.2617264690587624</v>
      </c>
      <c r="G104" s="36">
        <v>4947.5166023114143</v>
      </c>
      <c r="H104" s="37">
        <f t="shared" si="17"/>
        <v>0</v>
      </c>
      <c r="I104" s="38">
        <f t="shared" si="18"/>
        <v>0</v>
      </c>
    </row>
    <row r="105" spans="1:9" x14ac:dyDescent="0.2">
      <c r="A105" s="29">
        <f t="shared" si="19"/>
        <v>95</v>
      </c>
      <c r="B105" s="67">
        <v>4331</v>
      </c>
      <c r="C105" s="32">
        <f t="shared" si="14"/>
        <v>0.26899099515123526</v>
      </c>
      <c r="D105" s="35">
        <f t="shared" si="15"/>
        <v>0.28244054490879705</v>
      </c>
      <c r="E105" s="36">
        <f t="shared" si="20"/>
        <v>3652.6205513788454</v>
      </c>
      <c r="F105" s="35">
        <f t="shared" si="16"/>
        <v>0.28244054490879689</v>
      </c>
      <c r="G105" s="36">
        <v>3652.6205513788427</v>
      </c>
      <c r="H105" s="37">
        <f t="shared" si="17"/>
        <v>0</v>
      </c>
      <c r="I105" s="38">
        <f t="shared" si="18"/>
        <v>0</v>
      </c>
    </row>
    <row r="106" spans="1:9" x14ac:dyDescent="0.2">
      <c r="A106" s="29">
        <f t="shared" si="19"/>
        <v>96</v>
      </c>
      <c r="B106" s="67">
        <v>3166</v>
      </c>
      <c r="C106" s="32">
        <f t="shared" ref="C106:C120" si="21">1-B107/B106</f>
        <v>0.2896399241945673</v>
      </c>
      <c r="D106" s="35">
        <f t="shared" ref="D106:D119" si="22">C106*(1-$E$2)</f>
        <v>0.3041219204042957</v>
      </c>
      <c r="E106" s="36">
        <f t="shared" si="20"/>
        <v>2620.972412502334</v>
      </c>
      <c r="F106" s="35">
        <f t="shared" ref="F106:F119" si="23">1-E107/E106</f>
        <v>0.30412192040429575</v>
      </c>
      <c r="G106" s="36">
        <v>2620.9724125023317</v>
      </c>
      <c r="H106" s="37">
        <f t="shared" ref="H106:H120" si="24">(ABS(F106-D106)&gt;$E$3)*1</f>
        <v>0</v>
      </c>
      <c r="I106" s="38">
        <f t="shared" ref="I106:I120" si="25">(ABS(G106-E106)&gt;$E$3)*1</f>
        <v>0</v>
      </c>
    </row>
    <row r="107" spans="1:9" x14ac:dyDescent="0.2">
      <c r="A107" s="29">
        <f t="shared" ref="A107:A120" si="26">A106+1</f>
        <v>97</v>
      </c>
      <c r="B107" s="67">
        <v>2249</v>
      </c>
      <c r="C107" s="32">
        <f t="shared" si="21"/>
        <v>0.31124944419742107</v>
      </c>
      <c r="D107" s="35">
        <f t="shared" si="22"/>
        <v>0.32681191640729212</v>
      </c>
      <c r="E107" s="36">
        <f t="shared" ref="E107:E120" si="27">E106*(1-D106)</f>
        <v>1823.8772490854442</v>
      </c>
      <c r="F107" s="35">
        <f t="shared" si="23"/>
        <v>0.32681191640729212</v>
      </c>
      <c r="G107" s="36">
        <v>1823.8772490854428</v>
      </c>
      <c r="H107" s="37">
        <f t="shared" si="24"/>
        <v>0</v>
      </c>
      <c r="I107" s="38">
        <f t="shared" si="25"/>
        <v>0</v>
      </c>
    </row>
    <row r="108" spans="1:9" x14ac:dyDescent="0.2">
      <c r="A108" s="29">
        <f t="shared" si="26"/>
        <v>98</v>
      </c>
      <c r="B108" s="67">
        <v>1549</v>
      </c>
      <c r="C108" s="32">
        <f t="shared" si="21"/>
        <v>0.33376371852808262</v>
      </c>
      <c r="D108" s="35">
        <f t="shared" si="22"/>
        <v>0.35045190445448676</v>
      </c>
      <c r="E108" s="36">
        <f t="shared" si="27"/>
        <v>1227.81243002017</v>
      </c>
      <c r="F108" s="35">
        <f t="shared" si="23"/>
        <v>0.35045190445448671</v>
      </c>
      <c r="G108" s="36">
        <v>1227.8124300201691</v>
      </c>
      <c r="H108" s="37">
        <f t="shared" si="24"/>
        <v>0</v>
      </c>
      <c r="I108" s="38">
        <f t="shared" si="25"/>
        <v>0</v>
      </c>
    </row>
    <row r="109" spans="1:9" x14ac:dyDescent="0.2">
      <c r="A109" s="29">
        <f t="shared" si="26"/>
        <v>99</v>
      </c>
      <c r="B109" s="67">
        <v>1032</v>
      </c>
      <c r="C109" s="32">
        <f t="shared" si="21"/>
        <v>0.35755813953488369</v>
      </c>
      <c r="D109" s="35">
        <f t="shared" si="22"/>
        <v>0.37543604651162787</v>
      </c>
      <c r="E109" s="36">
        <f t="shared" si="27"/>
        <v>797.5232256067103</v>
      </c>
      <c r="F109" s="35">
        <f t="shared" si="23"/>
        <v>0.37543604651162787</v>
      </c>
      <c r="G109" s="36">
        <v>797.52322560670962</v>
      </c>
      <c r="H109" s="37">
        <f t="shared" si="24"/>
        <v>0</v>
      </c>
      <c r="I109" s="38">
        <f t="shared" si="25"/>
        <v>0</v>
      </c>
    </row>
    <row r="110" spans="1:9" x14ac:dyDescent="0.2">
      <c r="A110" s="29">
        <f t="shared" si="26"/>
        <v>100</v>
      </c>
      <c r="B110" s="67">
        <v>663</v>
      </c>
      <c r="C110" s="32">
        <f t="shared" si="21"/>
        <v>0.38159879336349922</v>
      </c>
      <c r="D110" s="35">
        <f t="shared" si="22"/>
        <v>0.40067873303167423</v>
      </c>
      <c r="E110" s="36">
        <f t="shared" si="27"/>
        <v>498.10425878372592</v>
      </c>
      <c r="F110" s="35">
        <f t="shared" si="23"/>
        <v>0.40067873303167423</v>
      </c>
      <c r="G110" s="36">
        <v>498.10425878372547</v>
      </c>
      <c r="H110" s="37">
        <f t="shared" si="24"/>
        <v>0</v>
      </c>
      <c r="I110" s="38">
        <f t="shared" si="25"/>
        <v>0</v>
      </c>
    </row>
    <row r="111" spans="1:9" x14ac:dyDescent="0.2">
      <c r="A111" s="29">
        <f t="shared" si="26"/>
        <v>101</v>
      </c>
      <c r="B111" s="67">
        <v>410</v>
      </c>
      <c r="C111" s="32">
        <f t="shared" si="21"/>
        <v>0.40487804878048783</v>
      </c>
      <c r="D111" s="35">
        <f t="shared" si="22"/>
        <v>0.42512195121951224</v>
      </c>
      <c r="E111" s="36">
        <f t="shared" si="27"/>
        <v>298.52447545658146</v>
      </c>
      <c r="F111" s="35">
        <f t="shared" si="23"/>
        <v>0.42512195121951224</v>
      </c>
      <c r="G111" s="36">
        <v>298.52447545658117</v>
      </c>
      <c r="H111" s="37">
        <f t="shared" si="24"/>
        <v>0</v>
      </c>
      <c r="I111" s="38">
        <f t="shared" si="25"/>
        <v>0</v>
      </c>
    </row>
    <row r="112" spans="1:9" x14ac:dyDescent="0.2">
      <c r="A112" s="29">
        <f t="shared" si="26"/>
        <v>102</v>
      </c>
      <c r="B112" s="67">
        <v>244</v>
      </c>
      <c r="C112" s="32">
        <f t="shared" si="21"/>
        <v>0.43032786885245899</v>
      </c>
      <c r="D112" s="35">
        <f t="shared" si="22"/>
        <v>0.45184426229508196</v>
      </c>
      <c r="E112" s="36">
        <f t="shared" si="27"/>
        <v>171.61516796369816</v>
      </c>
      <c r="F112" s="35">
        <f t="shared" si="23"/>
        <v>0.45184426229508201</v>
      </c>
      <c r="G112" s="36">
        <v>171.61516796369798</v>
      </c>
      <c r="H112" s="37">
        <f t="shared" si="24"/>
        <v>0</v>
      </c>
      <c r="I112" s="38">
        <f t="shared" si="25"/>
        <v>0</v>
      </c>
    </row>
    <row r="113" spans="1:9" x14ac:dyDescent="0.2">
      <c r="A113" s="29">
        <f t="shared" si="26"/>
        <v>103</v>
      </c>
      <c r="B113" s="67">
        <v>139</v>
      </c>
      <c r="C113" s="32">
        <f t="shared" si="21"/>
        <v>0.46043165467625902</v>
      </c>
      <c r="D113" s="35">
        <f t="shared" si="22"/>
        <v>0.48345323741007201</v>
      </c>
      <c r="E113" s="36">
        <f t="shared" si="27"/>
        <v>94.071838996494364</v>
      </c>
      <c r="F113" s="35">
        <f t="shared" si="23"/>
        <v>0.48345323741007196</v>
      </c>
      <c r="G113" s="36">
        <v>94.071838996494293</v>
      </c>
      <c r="H113" s="37">
        <f t="shared" si="24"/>
        <v>0</v>
      </c>
      <c r="I113" s="38">
        <f t="shared" si="25"/>
        <v>0</v>
      </c>
    </row>
    <row r="114" spans="1:9" x14ac:dyDescent="0.2">
      <c r="A114" s="29">
        <f t="shared" si="26"/>
        <v>104</v>
      </c>
      <c r="B114" s="67">
        <v>75</v>
      </c>
      <c r="C114" s="32">
        <f t="shared" si="21"/>
        <v>0.48</v>
      </c>
      <c r="D114" s="35">
        <f t="shared" si="22"/>
        <v>0.504</v>
      </c>
      <c r="E114" s="36">
        <f t="shared" si="27"/>
        <v>48.592503884520106</v>
      </c>
      <c r="F114" s="35">
        <f t="shared" si="23"/>
        <v>0.504</v>
      </c>
      <c r="G114" s="36">
        <v>48.59250388452007</v>
      </c>
      <c r="H114" s="37">
        <f t="shared" si="24"/>
        <v>0</v>
      </c>
      <c r="I114" s="38">
        <f t="shared" si="25"/>
        <v>0</v>
      </c>
    </row>
    <row r="115" spans="1:9" x14ac:dyDescent="0.2">
      <c r="A115" s="29">
        <f t="shared" si="26"/>
        <v>105</v>
      </c>
      <c r="B115" s="67">
        <v>39</v>
      </c>
      <c r="C115" s="32">
        <f t="shared" si="21"/>
        <v>0.51282051282051277</v>
      </c>
      <c r="D115" s="35">
        <f t="shared" si="22"/>
        <v>0.53846153846153844</v>
      </c>
      <c r="E115" s="36">
        <f t="shared" si="27"/>
        <v>24.101881926721973</v>
      </c>
      <c r="F115" s="35">
        <f t="shared" si="23"/>
        <v>0.53846153846153844</v>
      </c>
      <c r="G115" s="36">
        <v>24.101881926721955</v>
      </c>
      <c r="H115" s="37">
        <f t="shared" si="24"/>
        <v>0</v>
      </c>
      <c r="I115" s="38">
        <f t="shared" si="25"/>
        <v>0</v>
      </c>
    </row>
    <row r="116" spans="1:9" x14ac:dyDescent="0.2">
      <c r="A116" s="29">
        <f t="shared" si="26"/>
        <v>106</v>
      </c>
      <c r="B116" s="67">
        <v>19</v>
      </c>
      <c r="C116" s="32">
        <f t="shared" si="21"/>
        <v>0.52631578947368429</v>
      </c>
      <c r="D116" s="35">
        <f t="shared" si="22"/>
        <v>0.55263157894736858</v>
      </c>
      <c r="E116" s="36">
        <f t="shared" si="27"/>
        <v>11.123945504640911</v>
      </c>
      <c r="F116" s="35">
        <f t="shared" si="23"/>
        <v>0.55263157894736858</v>
      </c>
      <c r="G116" s="36">
        <v>11.123945504640902</v>
      </c>
      <c r="H116" s="37">
        <f t="shared" si="24"/>
        <v>0</v>
      </c>
      <c r="I116" s="38">
        <f t="shared" si="25"/>
        <v>0</v>
      </c>
    </row>
    <row r="117" spans="1:9" x14ac:dyDescent="0.2">
      <c r="A117" s="29">
        <f t="shared" si="26"/>
        <v>107</v>
      </c>
      <c r="B117" s="67">
        <v>9</v>
      </c>
      <c r="C117" s="32">
        <f t="shared" si="21"/>
        <v>0.55555555555555558</v>
      </c>
      <c r="D117" s="35">
        <f t="shared" si="22"/>
        <v>0.58333333333333337</v>
      </c>
      <c r="E117" s="36">
        <f t="shared" si="27"/>
        <v>4.9765019362867218</v>
      </c>
      <c r="F117" s="35">
        <f t="shared" si="23"/>
        <v>0.58333333333333326</v>
      </c>
      <c r="G117" s="36">
        <v>4.97650193628672</v>
      </c>
      <c r="H117" s="37">
        <f t="shared" si="24"/>
        <v>0</v>
      </c>
      <c r="I117" s="38">
        <f t="shared" si="25"/>
        <v>0</v>
      </c>
    </row>
    <row r="118" spans="1:9" x14ac:dyDescent="0.2">
      <c r="A118" s="29">
        <f t="shared" si="26"/>
        <v>108</v>
      </c>
      <c r="B118" s="67">
        <v>4</v>
      </c>
      <c r="C118" s="32">
        <f t="shared" si="21"/>
        <v>0.5</v>
      </c>
      <c r="D118" s="35">
        <f t="shared" si="22"/>
        <v>0.52500000000000002</v>
      </c>
      <c r="E118" s="36">
        <f t="shared" si="27"/>
        <v>2.0735424734528007</v>
      </c>
      <c r="F118" s="35">
        <f t="shared" si="23"/>
        <v>0.52500000000000002</v>
      </c>
      <c r="G118" s="36">
        <v>2.0735424734527999</v>
      </c>
      <c r="H118" s="37">
        <f t="shared" si="24"/>
        <v>0</v>
      </c>
      <c r="I118" s="38">
        <f t="shared" si="25"/>
        <v>0</v>
      </c>
    </row>
    <row r="119" spans="1:9" x14ac:dyDescent="0.2">
      <c r="A119" s="29">
        <f t="shared" si="26"/>
        <v>109</v>
      </c>
      <c r="B119" s="67">
        <v>2</v>
      </c>
      <c r="C119" s="32">
        <f t="shared" si="21"/>
        <v>0.5</v>
      </c>
      <c r="D119" s="35">
        <f t="shared" si="22"/>
        <v>0.52500000000000002</v>
      </c>
      <c r="E119" s="36">
        <f t="shared" si="27"/>
        <v>0.9849326748900803</v>
      </c>
      <c r="F119" s="35">
        <f t="shared" si="23"/>
        <v>0.52500000000000002</v>
      </c>
      <c r="G119" s="36">
        <v>0.98493267489007985</v>
      </c>
      <c r="H119" s="37">
        <f t="shared" si="24"/>
        <v>0</v>
      </c>
      <c r="I119" s="38">
        <f t="shared" si="25"/>
        <v>0</v>
      </c>
    </row>
    <row r="120" spans="1:9" ht="13.5" thickBot="1" x14ac:dyDescent="0.25">
      <c r="A120" s="95">
        <f t="shared" si="26"/>
        <v>110</v>
      </c>
      <c r="B120" s="69">
        <v>1</v>
      </c>
      <c r="C120" s="128">
        <f t="shared" si="21"/>
        <v>1</v>
      </c>
      <c r="D120" s="149">
        <v>1</v>
      </c>
      <c r="E120" s="150">
        <f t="shared" si="27"/>
        <v>0.46784302057278809</v>
      </c>
      <c r="F120" s="149">
        <v>1</v>
      </c>
      <c r="G120" s="150">
        <v>0.46784302057278793</v>
      </c>
      <c r="H120" s="151">
        <f t="shared" si="24"/>
        <v>0</v>
      </c>
      <c r="I120" s="39">
        <f t="shared" si="25"/>
        <v>0</v>
      </c>
    </row>
  </sheetData>
  <mergeCells count="2">
    <mergeCell ref="D1:E1"/>
    <mergeCell ref="K4:K5"/>
  </mergeCells>
  <conditionalFormatting sqref="H9:I9">
    <cfRule type="cellIs" dxfId="27" priority="5" operator="notEqual">
      <formula>"OK"</formula>
    </cfRule>
  </conditionalFormatting>
  <conditionalFormatting sqref="H10:I120">
    <cfRule type="cellIs" dxfId="26" priority="3" operator="notEqual">
      <formula>0</formula>
    </cfRule>
  </conditionalFormatting>
  <conditionalFormatting sqref="L7">
    <cfRule type="cellIs" dxfId="25" priority="1" operator="notEqual">
      <formula>"OK"</formula>
    </cfRule>
  </conditionalFormatting>
  <dataValidations disablePrompts="1" count="1">
    <dataValidation type="list" allowBlank="1" showInputMessage="1" showErrorMessage="1" sqref="H6" xr:uid="{00000000-0002-0000-0100-000000000000}">
      <formula1>"Term Assurance"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U120"/>
  <sheetViews>
    <sheetView showGridLines="0" zoomScale="85" zoomScaleNormal="85" workbookViewId="0">
      <pane ySplit="9" topLeftCell="A10" activePane="bottomLeft" state="frozen"/>
      <selection pane="bottomLeft" activeCell="A3" sqref="A3"/>
    </sheetView>
  </sheetViews>
  <sheetFormatPr baseColWidth="10" defaultColWidth="9.140625" defaultRowHeight="12.75" x14ac:dyDescent="0.2"/>
  <cols>
    <col min="9" max="9" width="13.85546875" customWidth="1"/>
    <col min="10" max="10" width="11.7109375" customWidth="1"/>
    <col min="11" max="11" width="10.42578125" customWidth="1"/>
    <col min="12" max="12" width="12.28515625" customWidth="1"/>
    <col min="13" max="13" width="11.5703125" customWidth="1"/>
    <col min="14" max="14" width="12" bestFit="1" customWidth="1"/>
    <col min="15" max="15" width="15.7109375" customWidth="1"/>
    <col min="16" max="16" width="20" customWidth="1"/>
    <col min="17" max="18" width="15.7109375" customWidth="1"/>
    <col min="19" max="19" width="12" customWidth="1"/>
    <col min="20" max="20" width="26" customWidth="1"/>
    <col min="21" max="21" width="21.140625" customWidth="1"/>
    <col min="22" max="22" width="11.28515625" customWidth="1"/>
    <col min="23" max="23" width="11.42578125" customWidth="1"/>
    <col min="24" max="25" width="9.7109375" bestFit="1" customWidth="1"/>
    <col min="26" max="26" width="10.28515625" bestFit="1" customWidth="1"/>
    <col min="36" max="36" width="12.85546875" bestFit="1" customWidth="1"/>
    <col min="38" max="38" width="9.28515625" bestFit="1" customWidth="1"/>
    <col min="40" max="40" width="9.28515625" bestFit="1" customWidth="1"/>
    <col min="43" max="43" width="9.28515625" bestFit="1" customWidth="1"/>
    <col min="45" max="46" width="9.28515625" bestFit="1" customWidth="1"/>
  </cols>
  <sheetData>
    <row r="1" spans="1:37" x14ac:dyDescent="0.2">
      <c r="F1" s="2" t="s">
        <v>10</v>
      </c>
      <c r="G1" s="59">
        <f>SinglePremiumTA(J1,J3,J4,J5)</f>
        <v>3.2104994716798472</v>
      </c>
      <c r="I1" s="3" t="s">
        <v>4</v>
      </c>
      <c r="J1" s="4">
        <v>50</v>
      </c>
    </row>
    <row r="2" spans="1:37" x14ac:dyDescent="0.2">
      <c r="I2" s="5" t="s">
        <v>17</v>
      </c>
      <c r="J2" s="6">
        <v>5</v>
      </c>
    </row>
    <row r="3" spans="1:37" ht="15" x14ac:dyDescent="0.25">
      <c r="A3" s="88" t="s">
        <v>78</v>
      </c>
      <c r="F3" s="2" t="s">
        <v>15</v>
      </c>
      <c r="G3" s="59">
        <f>AnnualPremium(G1,J1,J2,J4)</f>
        <v>0.66309390174204563</v>
      </c>
      <c r="I3" s="5" t="s">
        <v>16</v>
      </c>
      <c r="J3" s="6">
        <v>5</v>
      </c>
    </row>
    <row r="4" spans="1:37" x14ac:dyDescent="0.2">
      <c r="I4" s="5" t="s">
        <v>5</v>
      </c>
      <c r="J4" s="9">
        <v>0.01</v>
      </c>
    </row>
    <row r="5" spans="1:37" ht="13.5" thickBot="1" x14ac:dyDescent="0.25">
      <c r="F5" s="2" t="s">
        <v>47</v>
      </c>
      <c r="G5" s="60">
        <v>1.0000000000000001E-15</v>
      </c>
      <c r="I5" s="7" t="s">
        <v>6</v>
      </c>
      <c r="J5" s="10">
        <v>100</v>
      </c>
    </row>
    <row r="6" spans="1:37" ht="13.5" thickBot="1" x14ac:dyDescent="0.25">
      <c r="L6" s="61">
        <v>0</v>
      </c>
      <c r="M6" s="62">
        <v>1</v>
      </c>
      <c r="N6" s="62">
        <v>2</v>
      </c>
      <c r="O6" s="62">
        <v>3</v>
      </c>
      <c r="P6" s="62">
        <v>4</v>
      </c>
      <c r="Q6" s="63">
        <v>5</v>
      </c>
    </row>
    <row r="7" spans="1:37" x14ac:dyDescent="0.2">
      <c r="I7" s="175" t="s">
        <v>59</v>
      </c>
      <c r="J7" s="177" t="s">
        <v>60</v>
      </c>
      <c r="K7" s="178"/>
      <c r="L7" s="48">
        <f t="shared" ref="L7:Q7" si="0">$J$5*L11-$G$3*L12</f>
        <v>0</v>
      </c>
      <c r="M7" s="49">
        <f t="shared" si="0"/>
        <v>8.7938769932207617E-2</v>
      </c>
      <c r="N7" s="49">
        <f t="shared" si="0"/>
        <v>0.13571812444370024</v>
      </c>
      <c r="O7" s="49">
        <f t="shared" si="0"/>
        <v>0.139764597102219</v>
      </c>
      <c r="P7" s="49">
        <f t="shared" si="0"/>
        <v>9.6261787694845502E-2</v>
      </c>
      <c r="Q7" s="84">
        <f t="shared" si="0"/>
        <v>0</v>
      </c>
    </row>
    <row r="8" spans="1:37" ht="13.5" thickBot="1" x14ac:dyDescent="0.25">
      <c r="B8" t="s">
        <v>37</v>
      </c>
      <c r="C8" s="22"/>
      <c r="D8" s="79">
        <f>SUM(D10:D116)</f>
        <v>0</v>
      </c>
      <c r="I8" s="176"/>
      <c r="J8" s="179" t="s">
        <v>61</v>
      </c>
      <c r="K8" s="180"/>
      <c r="L8" s="85">
        <v>0</v>
      </c>
      <c r="M8" s="86">
        <f>(L8+$G$3-$J$5*(1/(1+$J$4))*n_1qx($J$1+L6,0))/((1/(1+$J$4))*(1-n_1qx($J$1+L6,0)))</f>
        <v>8.7938769932207964E-2</v>
      </c>
      <c r="N8" s="86">
        <f>(M8+$G$3-$J$5*(1/(1+$J$4))*n_1qx($J$1+M6,0))/((1/(1+$J$4))*(1-n_1qx($J$1+M6,0)))</f>
        <v>0.13571812444370049</v>
      </c>
      <c r="O8" s="86">
        <f>(N8+$G$3-$J$5*(1/(1+$J$4))*n_1qx($J$1+N6,0))/((1/(1+$J$4))*(1-n_1qx($J$1+N6,0)))</f>
        <v>0.13976459710221942</v>
      </c>
      <c r="P8" s="86">
        <f>(O8+$G$3-$J$5*(1/(1+$J$4))*n_1qx($J$1+O6,0))/((1/(1+$J$4))*(1-n_1qx($J$1+O6,0)))</f>
        <v>9.6261787694845974E-2</v>
      </c>
      <c r="Q8" s="87">
        <f>(P8+$G$3-$J$5*(1/(1+$J$4))*n_1qx($J$1+P6,0))/((1/(1+$J$4))*(1-n_1qx($J$1+P6,0)))</f>
        <v>3.3899751535048468E-16</v>
      </c>
    </row>
    <row r="9" spans="1:37" ht="13.5" thickBot="1" x14ac:dyDescent="0.25">
      <c r="A9" s="73" t="s">
        <v>3</v>
      </c>
      <c r="B9" s="74" t="s">
        <v>0</v>
      </c>
      <c r="C9" s="75" t="s">
        <v>64</v>
      </c>
      <c r="D9" s="76" t="s">
        <v>36</v>
      </c>
      <c r="E9" s="73" t="s">
        <v>1</v>
      </c>
      <c r="F9" s="74" t="s">
        <v>2</v>
      </c>
      <c r="L9" s="56" t="str">
        <f t="shared" ref="L9:Q9" si="1">IF(ABS(L8-L7)&lt;$G$5,"OK","error")</f>
        <v>OK</v>
      </c>
      <c r="M9" s="57" t="str">
        <f t="shared" si="1"/>
        <v>OK</v>
      </c>
      <c r="N9" s="57" t="str">
        <f t="shared" si="1"/>
        <v>OK</v>
      </c>
      <c r="O9" s="57" t="str">
        <f t="shared" si="1"/>
        <v>OK</v>
      </c>
      <c r="P9" s="57" t="str">
        <f t="shared" si="1"/>
        <v>OK</v>
      </c>
      <c r="Q9" s="58" t="str">
        <f t="shared" si="1"/>
        <v>OK</v>
      </c>
    </row>
    <row r="10" spans="1:37" ht="13.5" thickBot="1" x14ac:dyDescent="0.25">
      <c r="A10" s="98">
        <v>0</v>
      </c>
      <c r="B10" s="100">
        <v>100000</v>
      </c>
      <c r="C10" s="53">
        <f t="shared" ref="C10:C41" si="2">lx(A10)</f>
        <v>100000</v>
      </c>
      <c r="D10" s="89">
        <f t="shared" ref="D10:D41" si="3">(B10&lt;&gt;C10)*1</f>
        <v>0</v>
      </c>
      <c r="E10" s="53">
        <f t="shared" ref="E10:E41" si="4">dx(A10)</f>
        <v>489</v>
      </c>
      <c r="F10" s="94">
        <f t="shared" ref="F10:F41" si="5">qx(A10)</f>
        <v>4.8900000000000002E-3</v>
      </c>
    </row>
    <row r="11" spans="1:37" ht="14.25" x14ac:dyDescent="0.25">
      <c r="A11" s="29">
        <f t="shared" ref="A11:A42" si="6">A10+1</f>
        <v>1</v>
      </c>
      <c r="B11" s="96">
        <v>99511</v>
      </c>
      <c r="C11" s="54">
        <f t="shared" si="2"/>
        <v>99511</v>
      </c>
      <c r="D11" s="90">
        <f t="shared" si="3"/>
        <v>0</v>
      </c>
      <c r="E11" s="54">
        <f t="shared" si="4"/>
        <v>38</v>
      </c>
      <c r="F11" s="32">
        <f t="shared" si="5"/>
        <v>3.8186733124981158E-4</v>
      </c>
      <c r="K11" s="46" t="s">
        <v>58</v>
      </c>
      <c r="L11" s="109">
        <f>J26</f>
        <v>3.2104994716798473E-2</v>
      </c>
      <c r="M11" s="110">
        <f>M26</f>
        <v>2.6758879755711666E-2</v>
      </c>
      <c r="N11" s="110">
        <f>P26</f>
        <v>2.0920228929363016E-2</v>
      </c>
      <c r="O11" s="110">
        <f>S26</f>
        <v>1.4546908741822684E-2</v>
      </c>
      <c r="P11" s="110">
        <f>V26</f>
        <v>7.5935568943689118E-3</v>
      </c>
      <c r="Q11" s="52">
        <v>0</v>
      </c>
    </row>
    <row r="12" spans="1:37" ht="15" thickBot="1" x14ac:dyDescent="0.3">
      <c r="A12" s="29">
        <f t="shared" si="6"/>
        <v>2</v>
      </c>
      <c r="B12" s="96">
        <v>99473</v>
      </c>
      <c r="C12" s="54">
        <f t="shared" si="2"/>
        <v>99473</v>
      </c>
      <c r="D12" s="90">
        <f t="shared" si="3"/>
        <v>0</v>
      </c>
      <c r="E12" s="54">
        <f t="shared" si="4"/>
        <v>27</v>
      </c>
      <c r="F12" s="32">
        <f t="shared" si="5"/>
        <v>2.7143043841042295E-4</v>
      </c>
      <c r="K12" s="47" t="s">
        <v>57</v>
      </c>
      <c r="L12" s="50">
        <f>AA26</f>
        <v>4.8416965730575878</v>
      </c>
      <c r="M12" s="51">
        <f>AD26</f>
        <v>3.9028397016471335</v>
      </c>
      <c r="N12" s="51">
        <f>AG26</f>
        <v>2.9502680741793883</v>
      </c>
      <c r="O12" s="51">
        <f>AJ26</f>
        <v>1.9830166943558731</v>
      </c>
      <c r="P12" s="51">
        <f>AM26</f>
        <v>1</v>
      </c>
      <c r="Q12" s="33">
        <v>0</v>
      </c>
    </row>
    <row r="13" spans="1:37" x14ac:dyDescent="0.2">
      <c r="A13" s="29">
        <f t="shared" si="6"/>
        <v>3</v>
      </c>
      <c r="B13" s="96">
        <v>99446</v>
      </c>
      <c r="C13" s="54">
        <f t="shared" si="2"/>
        <v>99446</v>
      </c>
      <c r="D13" s="90">
        <f t="shared" si="3"/>
        <v>0</v>
      </c>
      <c r="E13" s="54">
        <f t="shared" si="4"/>
        <v>22</v>
      </c>
      <c r="F13" s="32">
        <f t="shared" si="5"/>
        <v>2.2122558976731091E-4</v>
      </c>
    </row>
    <row r="14" spans="1:37" x14ac:dyDescent="0.2">
      <c r="A14" s="29">
        <f t="shared" si="6"/>
        <v>4</v>
      </c>
      <c r="B14" s="96">
        <v>99424</v>
      </c>
      <c r="C14" s="54">
        <f t="shared" si="2"/>
        <v>99424</v>
      </c>
      <c r="D14" s="90">
        <f t="shared" si="3"/>
        <v>0</v>
      </c>
      <c r="E14" s="54">
        <f t="shared" si="4"/>
        <v>18</v>
      </c>
      <c r="F14" s="32">
        <f t="shared" si="5"/>
        <v>1.8104280656581912E-4</v>
      </c>
    </row>
    <row r="15" spans="1:37" x14ac:dyDescent="0.2">
      <c r="A15" s="29">
        <f t="shared" si="6"/>
        <v>5</v>
      </c>
      <c r="B15" s="96">
        <v>99406</v>
      </c>
      <c r="C15" s="54">
        <f t="shared" si="2"/>
        <v>99406</v>
      </c>
      <c r="D15" s="90">
        <f t="shared" si="3"/>
        <v>0</v>
      </c>
      <c r="E15" s="54">
        <f t="shared" si="4"/>
        <v>16</v>
      </c>
      <c r="F15" s="32">
        <f t="shared" si="5"/>
        <v>1.6095607910991287E-4</v>
      </c>
    </row>
    <row r="16" spans="1:37" x14ac:dyDescent="0.2">
      <c r="A16" s="29">
        <f t="shared" si="6"/>
        <v>6</v>
      </c>
      <c r="B16" s="96">
        <v>99390</v>
      </c>
      <c r="C16" s="54">
        <f t="shared" si="2"/>
        <v>99390</v>
      </c>
      <c r="D16" s="90">
        <f t="shared" si="3"/>
        <v>0</v>
      </c>
      <c r="E16" s="54">
        <f t="shared" si="4"/>
        <v>14</v>
      </c>
      <c r="F16" s="32">
        <f t="shared" si="5"/>
        <v>1.4085924137237146E-4</v>
      </c>
      <c r="H16" s="77">
        <v>0</v>
      </c>
      <c r="K16" s="77">
        <v>1</v>
      </c>
      <c r="N16" s="77">
        <v>2</v>
      </c>
      <c r="Q16" s="77">
        <v>3</v>
      </c>
      <c r="T16" s="77">
        <v>4</v>
      </c>
      <c r="Y16" s="77">
        <v>0</v>
      </c>
      <c r="AB16" s="77">
        <v>1</v>
      </c>
      <c r="AE16" s="77">
        <v>2</v>
      </c>
      <c r="AH16" s="77">
        <v>3</v>
      </c>
      <c r="AK16" s="77">
        <v>4</v>
      </c>
    </row>
    <row r="17" spans="1:39" x14ac:dyDescent="0.2">
      <c r="A17" s="29">
        <f t="shared" si="6"/>
        <v>7</v>
      </c>
      <c r="B17" s="96">
        <v>99376</v>
      </c>
      <c r="C17" s="54">
        <f t="shared" si="2"/>
        <v>99376</v>
      </c>
      <c r="D17" s="90">
        <f t="shared" si="3"/>
        <v>0</v>
      </c>
      <c r="E17" s="54">
        <f t="shared" si="4"/>
        <v>13</v>
      </c>
      <c r="F17" s="32">
        <f t="shared" si="5"/>
        <v>1.308162936725165E-4</v>
      </c>
      <c r="H17" s="78" t="s">
        <v>23</v>
      </c>
      <c r="I17" s="78"/>
      <c r="J17" s="78"/>
      <c r="K17" s="78" t="s">
        <v>24</v>
      </c>
      <c r="L17" s="78"/>
      <c r="M17" s="78"/>
      <c r="N17" s="78" t="s">
        <v>25</v>
      </c>
      <c r="O17" s="78"/>
      <c r="P17" s="78"/>
      <c r="Q17" s="78" t="s">
        <v>27</v>
      </c>
      <c r="R17" s="78"/>
      <c r="S17" s="78"/>
      <c r="T17" s="78" t="s">
        <v>30</v>
      </c>
      <c r="Y17" s="78" t="s">
        <v>23</v>
      </c>
      <c r="AB17" s="78" t="s">
        <v>24</v>
      </c>
      <c r="AE17" s="78" t="s">
        <v>25</v>
      </c>
      <c r="AH17" s="78" t="s">
        <v>27</v>
      </c>
      <c r="AK17" s="78" t="s">
        <v>30</v>
      </c>
    </row>
    <row r="18" spans="1:39" ht="13.5" thickBot="1" x14ac:dyDescent="0.25">
      <c r="A18" s="29">
        <f t="shared" si="6"/>
        <v>8</v>
      </c>
      <c r="B18" s="96">
        <v>99363</v>
      </c>
      <c r="C18" s="54">
        <f t="shared" si="2"/>
        <v>99363</v>
      </c>
      <c r="D18" s="90">
        <f t="shared" si="3"/>
        <v>0</v>
      </c>
      <c r="E18" s="54">
        <f t="shared" si="4"/>
        <v>13</v>
      </c>
      <c r="F18" s="32">
        <f t="shared" si="5"/>
        <v>1.3083340881414612E-4</v>
      </c>
      <c r="X18" s="2" t="s">
        <v>7</v>
      </c>
      <c r="Y18" s="2" t="s">
        <v>13</v>
      </c>
      <c r="Z18" s="2" t="s">
        <v>42</v>
      </c>
      <c r="AA18" s="2" t="s">
        <v>11</v>
      </c>
    </row>
    <row r="19" spans="1:39" ht="13.5" thickBot="1" x14ac:dyDescent="0.25">
      <c r="A19" s="29">
        <f t="shared" si="6"/>
        <v>9</v>
      </c>
      <c r="B19" s="96">
        <v>99350</v>
      </c>
      <c r="C19" s="54">
        <f t="shared" si="2"/>
        <v>99350</v>
      </c>
      <c r="D19" s="90">
        <f t="shared" si="3"/>
        <v>0</v>
      </c>
      <c r="E19" s="54">
        <f t="shared" si="4"/>
        <v>12</v>
      </c>
      <c r="F19" s="32">
        <f t="shared" si="5"/>
        <v>1.2078510317060895E-4</v>
      </c>
      <c r="G19" s="2" t="s">
        <v>7</v>
      </c>
      <c r="H19" s="2" t="s">
        <v>42</v>
      </c>
      <c r="I19" s="2" t="s">
        <v>19</v>
      </c>
      <c r="J19" s="2" t="s">
        <v>20</v>
      </c>
      <c r="X19">
        <v>0</v>
      </c>
      <c r="Y19" s="53">
        <f>npx($J$1+Y$16,$X19-$X$19)</f>
        <v>1</v>
      </c>
      <c r="Z19" s="64">
        <f>techDF($X19,$J$4)</f>
        <v>1</v>
      </c>
      <c r="AA19" s="65">
        <f>Y19*Z19</f>
        <v>1</v>
      </c>
      <c r="AB19" s="2" t="s">
        <v>13</v>
      </c>
      <c r="AC19" s="2" t="s">
        <v>42</v>
      </c>
      <c r="AD19" s="2" t="s">
        <v>11</v>
      </c>
    </row>
    <row r="20" spans="1:39" ht="13.5" thickBot="1" x14ac:dyDescent="0.25">
      <c r="A20" s="29">
        <f t="shared" si="6"/>
        <v>10</v>
      </c>
      <c r="B20" s="96">
        <v>99338</v>
      </c>
      <c r="C20" s="54">
        <f t="shared" si="2"/>
        <v>99338</v>
      </c>
      <c r="D20" s="90">
        <f t="shared" si="3"/>
        <v>0</v>
      </c>
      <c r="E20" s="54">
        <f t="shared" si="4"/>
        <v>13</v>
      </c>
      <c r="F20" s="32">
        <f t="shared" si="5"/>
        <v>1.3086633513861764E-4</v>
      </c>
      <c r="G20">
        <v>1</v>
      </c>
      <c r="H20" s="111">
        <f>techDF($G20-$H$16,$J$4)</f>
        <v>0.99009900990099009</v>
      </c>
      <c r="I20" s="112">
        <f>n_1qx($J$1+H$16,$G20-$G$20)</f>
        <v>5.822981366459627E-3</v>
      </c>
      <c r="J20" s="113">
        <f>H20*I20</f>
        <v>5.7653280856035912E-3</v>
      </c>
      <c r="K20" s="2" t="s">
        <v>42</v>
      </c>
      <c r="L20" s="2" t="s">
        <v>19</v>
      </c>
      <c r="M20" s="2" t="s">
        <v>20</v>
      </c>
      <c r="X20">
        <v>1</v>
      </c>
      <c r="Y20" s="54">
        <f>npx($J$1+Y$16,$X20-$X$19)</f>
        <v>0.99417701863354035</v>
      </c>
      <c r="Z20" s="66">
        <f>techDF($X20,$J$4)</f>
        <v>0.99009900990099009</v>
      </c>
      <c r="AA20" s="67">
        <f>Y20*Z20</f>
        <v>0.9843336818153865</v>
      </c>
      <c r="AB20" s="53">
        <f>npx($J$1+AB$16,$X20-$X$20)</f>
        <v>1</v>
      </c>
      <c r="AC20" s="64">
        <f>techDF($X20-$AB$16,$J$4)</f>
        <v>1</v>
      </c>
      <c r="AD20" s="65">
        <f>AB20*AC20</f>
        <v>1</v>
      </c>
      <c r="AE20" s="2" t="s">
        <v>13</v>
      </c>
      <c r="AF20" s="2" t="s">
        <v>42</v>
      </c>
      <c r="AG20" s="2" t="s">
        <v>11</v>
      </c>
    </row>
    <row r="21" spans="1:39" ht="13.5" thickBot="1" x14ac:dyDescent="0.25">
      <c r="A21" s="29">
        <f t="shared" si="6"/>
        <v>11</v>
      </c>
      <c r="B21" s="96">
        <v>99325</v>
      </c>
      <c r="C21" s="54">
        <f t="shared" si="2"/>
        <v>99325</v>
      </c>
      <c r="D21" s="90">
        <f t="shared" si="3"/>
        <v>0</v>
      </c>
      <c r="E21" s="54">
        <f t="shared" si="4"/>
        <v>13</v>
      </c>
      <c r="F21" s="32">
        <f t="shared" si="5"/>
        <v>1.3088346337780015E-4</v>
      </c>
      <c r="G21">
        <v>2</v>
      </c>
      <c r="H21" s="114">
        <f>techDF($G21-$H$16,$J$4)</f>
        <v>0.98029604940692083</v>
      </c>
      <c r="I21" s="115">
        <f>n_1qx($J$1+H$16,$G21-$G$20)</f>
        <v>6.2003968253968251E-3</v>
      </c>
      <c r="J21" s="116">
        <f>H21*I21</f>
        <v>6.0782245126917208E-3</v>
      </c>
      <c r="K21" s="111">
        <f>techDF($G21-$K$16,$J$4)</f>
        <v>0.99009900990099009</v>
      </c>
      <c r="L21" s="112">
        <f>n_1qx($J$1+K$16,$G21-$G$21)</f>
        <v>6.2367130895049673E-3</v>
      </c>
      <c r="M21" s="113">
        <f>K21*L21</f>
        <v>6.1749634549554131E-3</v>
      </c>
      <c r="N21" s="2" t="s">
        <v>42</v>
      </c>
      <c r="O21" s="2" t="s">
        <v>19</v>
      </c>
      <c r="P21" s="2" t="s">
        <v>20</v>
      </c>
      <c r="X21">
        <v>2</v>
      </c>
      <c r="Y21" s="54">
        <f>npx($J$1+Y$16,$X21-$X$19)</f>
        <v>0.9879766218081435</v>
      </c>
      <c r="Z21" s="66">
        <f>techDF($X21,$J$4)</f>
        <v>0.98029604940692083</v>
      </c>
      <c r="AA21" s="67">
        <f>Y21*Z21</f>
        <v>0.96850957926491854</v>
      </c>
      <c r="AB21" s="54">
        <f>npx($J$1+AB$16,$X21-$X$20)</f>
        <v>0.99376328691049498</v>
      </c>
      <c r="AC21" s="66">
        <f>techDF($X21-$AB$16,$J$4)</f>
        <v>0.99009900990099009</v>
      </c>
      <c r="AD21" s="67">
        <f>AB21*AC21</f>
        <v>0.98392404644603459</v>
      </c>
      <c r="AE21" s="53">
        <f>npx($J$1+AE$16,$X21-$X$21)</f>
        <v>1</v>
      </c>
      <c r="AF21" s="64">
        <f>techDF($X21-$X$21,$J$4)</f>
        <v>1</v>
      </c>
      <c r="AG21" s="65">
        <f>AE21*AF21</f>
        <v>1</v>
      </c>
      <c r="AH21" s="2" t="s">
        <v>13</v>
      </c>
      <c r="AI21" s="2" t="s">
        <v>42</v>
      </c>
      <c r="AJ21" s="2" t="s">
        <v>11</v>
      </c>
    </row>
    <row r="22" spans="1:39" ht="13.5" thickBot="1" x14ac:dyDescent="0.25">
      <c r="A22" s="29">
        <f t="shared" si="6"/>
        <v>12</v>
      </c>
      <c r="B22" s="96">
        <v>99312</v>
      </c>
      <c r="C22" s="54">
        <f t="shared" si="2"/>
        <v>99312</v>
      </c>
      <c r="D22" s="90">
        <f t="shared" si="3"/>
        <v>0</v>
      </c>
      <c r="E22" s="54">
        <f t="shared" si="4"/>
        <v>16</v>
      </c>
      <c r="F22" s="32">
        <f t="shared" si="5"/>
        <v>1.6110842597067828E-4</v>
      </c>
      <c r="G22">
        <v>3</v>
      </c>
      <c r="H22" s="114">
        <f>techDF($G22-$H$16,$J$4)</f>
        <v>0.97059014792764431</v>
      </c>
      <c r="I22" s="115">
        <f>n_1qx($J$1+H$16,$G22-$G$20)</f>
        <v>6.599378881987578E-3</v>
      </c>
      <c r="J22" s="116">
        <f>H22*I22</f>
        <v>6.4052921252988953E-3</v>
      </c>
      <c r="K22" s="114">
        <f>techDF($G22-$K$16,$J$4)</f>
        <v>0.98029604940692083</v>
      </c>
      <c r="L22" s="115">
        <f>n_1qx($J$1+K$16,$G22-$G$21)</f>
        <v>6.6380320187426787E-3</v>
      </c>
      <c r="M22" s="116">
        <f>K22*L22</f>
        <v>6.5072365638100954E-3</v>
      </c>
      <c r="N22" s="111">
        <f>techDF($G22-$N$16,$J$4)</f>
        <v>0.99009900990099009</v>
      </c>
      <c r="O22" s="112">
        <f>n_1qx($J$1+N$16,$G22-$G$22)</f>
        <v>6.6796913371388652E-3</v>
      </c>
      <c r="P22" s="113">
        <f>N22*O22</f>
        <v>6.6135557793454113E-3</v>
      </c>
      <c r="Q22" s="2" t="s">
        <v>42</v>
      </c>
      <c r="R22" s="2" t="s">
        <v>19</v>
      </c>
      <c r="S22" s="2" t="s">
        <v>20</v>
      </c>
      <c r="X22">
        <v>3</v>
      </c>
      <c r="Y22" s="54">
        <f>npx($J$1+Y$16,$X22-$X$19)</f>
        <v>0.98137724292615602</v>
      </c>
      <c r="Z22" s="66">
        <f>techDF($X22,$J$4)</f>
        <v>0.97059014792764431</v>
      </c>
      <c r="AA22" s="67">
        <f>Y22*Z22</f>
        <v>0.95251508338452151</v>
      </c>
      <c r="AB22" s="54">
        <f>npx($J$1+AB$16,$X22-$X$20)</f>
        <v>0.9871252548917524</v>
      </c>
      <c r="AC22" s="66">
        <f>techDF($X22-$AB$16,$J$4)</f>
        <v>0.98029604940692083</v>
      </c>
      <c r="AD22" s="67">
        <f>AB22*AC22</f>
        <v>0.96767498764018467</v>
      </c>
      <c r="AE22" s="54">
        <f>npx($J$1+AE$16,$X22-$X$21)</f>
        <v>0.99332030866286114</v>
      </c>
      <c r="AF22" s="66">
        <f>techDF($X22-$X$21,$J$4)</f>
        <v>0.99009900990099009</v>
      </c>
      <c r="AG22" s="67">
        <f>AE22*AF22</f>
        <v>0.98348545412164468</v>
      </c>
      <c r="AH22" s="53">
        <f>npx($J$1+AH$16,$X22-$X$22)</f>
        <v>1</v>
      </c>
      <c r="AI22" s="64">
        <f>techDF($X22-$X$22,$J$4)</f>
        <v>1</v>
      </c>
      <c r="AJ22" s="65">
        <f>AH22*AI22</f>
        <v>1</v>
      </c>
      <c r="AK22" s="2" t="s">
        <v>13</v>
      </c>
      <c r="AL22" s="2" t="s">
        <v>42</v>
      </c>
      <c r="AM22" s="2" t="s">
        <v>11</v>
      </c>
    </row>
    <row r="23" spans="1:39" ht="13.5" thickBot="1" x14ac:dyDescent="0.25">
      <c r="A23" s="29">
        <f t="shared" si="6"/>
        <v>13</v>
      </c>
      <c r="B23" s="96">
        <v>99296</v>
      </c>
      <c r="C23" s="54">
        <f t="shared" si="2"/>
        <v>99296</v>
      </c>
      <c r="D23" s="90">
        <f t="shared" si="3"/>
        <v>0</v>
      </c>
      <c r="E23" s="54">
        <f t="shared" si="4"/>
        <v>20</v>
      </c>
      <c r="F23" s="32">
        <f t="shared" si="5"/>
        <v>2.014179825974863E-4</v>
      </c>
      <c r="G23">
        <v>4</v>
      </c>
      <c r="H23" s="114">
        <f>techDF($G23-$H$16,$J$4)</f>
        <v>0.96098034448281622</v>
      </c>
      <c r="I23" s="115">
        <f>n_1qx($J$1+H$16,$G23-$G$20)</f>
        <v>7.019927536231884E-3</v>
      </c>
      <c r="J23" s="116">
        <f>H23*I23</f>
        <v>6.7460123820125232E-3</v>
      </c>
      <c r="K23" s="114">
        <f>techDF($G23-$K$16,$J$4)</f>
        <v>0.97059014792764431</v>
      </c>
      <c r="L23" s="115">
        <f>n_1qx($J$1+K$16,$G23-$G$21)</f>
        <v>7.0610438630743198E-3</v>
      </c>
      <c r="M23" s="116">
        <f>K23*L23</f>
        <v>6.8533796075848892E-3</v>
      </c>
      <c r="N23" s="114">
        <f>techDF($G23-$N$16,$J$4)</f>
        <v>0.98029604940692083</v>
      </c>
      <c r="O23" s="115">
        <f>n_1qx($J$1+N$16,$G23-$G$22)</f>
        <v>7.1053579419565385E-3</v>
      </c>
      <c r="P23" s="116">
        <f>N23*O23</f>
        <v>6.9653543201220842E-3</v>
      </c>
      <c r="Q23" s="111">
        <f>techDF($G23-$Q$16,$J$4)</f>
        <v>0.99009900990099009</v>
      </c>
      <c r="R23" s="112">
        <f>n_1qx($J$1+Q$16,$G23-$G$23)</f>
        <v>7.1531387005680756E-3</v>
      </c>
      <c r="S23" s="113">
        <f>Q23*R23</f>
        <v>7.0823155451169061E-3</v>
      </c>
      <c r="T23" s="2" t="s">
        <v>42</v>
      </c>
      <c r="U23" s="2" t="s">
        <v>19</v>
      </c>
      <c r="V23" s="2" t="s">
        <v>20</v>
      </c>
      <c r="X23">
        <v>4</v>
      </c>
      <c r="Y23" s="55">
        <f>npx($J$1+Y$16,$X23-$X$19)</f>
        <v>0.97435731538992409</v>
      </c>
      <c r="Z23" s="68">
        <f>techDF($X23,$J$4)</f>
        <v>0.96098034448281622</v>
      </c>
      <c r="AA23" s="69">
        <f>Y23*Z23</f>
        <v>0.93633822859276128</v>
      </c>
      <c r="AB23" s="55">
        <f>npx($J$1+AB$16,$X23-$X$20)</f>
        <v>0.98006421102867802</v>
      </c>
      <c r="AC23" s="68">
        <f>techDF($X23-$AB$16,$J$4)</f>
        <v>0.97059014792764431</v>
      </c>
      <c r="AD23" s="69">
        <f>AB23*AC23</f>
        <v>0.95124066756091463</v>
      </c>
      <c r="AE23" s="55">
        <f>npx($J$1+AE$16,$X23-$X$21)</f>
        <v>0.98621495072090459</v>
      </c>
      <c r="AF23" s="68">
        <f>techDF($X23-$X$21,$J$4)</f>
        <v>0.98029604940692083</v>
      </c>
      <c r="AG23" s="69">
        <f>AE23*AF23</f>
        <v>0.96678262005774385</v>
      </c>
      <c r="AH23" s="55">
        <f>npx($J$1+AH$16,$X23-$X$22)</f>
        <v>0.99284686129943189</v>
      </c>
      <c r="AI23" s="68">
        <f>techDF($X23-$X$22,$J$4)</f>
        <v>0.99009900990099009</v>
      </c>
      <c r="AJ23" s="69">
        <f>AH23*AI23</f>
        <v>0.98301669435587313</v>
      </c>
      <c r="AK23" s="70">
        <f>npx($J$1+AK$16,$X23-$X$23)</f>
        <v>1</v>
      </c>
      <c r="AL23" s="71">
        <f>techDF($X23-$X$23,$J$4)</f>
        <v>1</v>
      </c>
      <c r="AM23" s="72">
        <f>AK23*AL23</f>
        <v>1</v>
      </c>
    </row>
    <row r="24" spans="1:39" ht="13.5" thickBot="1" x14ac:dyDescent="0.25">
      <c r="A24" s="29">
        <f t="shared" si="6"/>
        <v>14</v>
      </c>
      <c r="B24" s="96">
        <v>99276</v>
      </c>
      <c r="C24" s="54">
        <f t="shared" si="2"/>
        <v>99276</v>
      </c>
      <c r="D24" s="90">
        <f t="shared" si="3"/>
        <v>0</v>
      </c>
      <c r="E24" s="54">
        <f t="shared" si="4"/>
        <v>26</v>
      </c>
      <c r="F24" s="32">
        <f t="shared" si="5"/>
        <v>2.6189612796647727E-4</v>
      </c>
      <c r="G24">
        <v>5</v>
      </c>
      <c r="H24" s="117">
        <f>techDF($G24-$H$16,$J$4)</f>
        <v>0.95146568760674866</v>
      </c>
      <c r="I24" s="118">
        <f>n_1qx($J$1+H$16,$G24-$G$20)</f>
        <v>7.472826086956522E-3</v>
      </c>
      <c r="J24" s="119">
        <f>H24*I24</f>
        <v>7.110137611191736E-3</v>
      </c>
      <c r="K24" s="117">
        <f>techDF($G24-$K$16,$J$4)</f>
        <v>0.96098034448281622</v>
      </c>
      <c r="L24" s="118">
        <f>n_1qx($J$1+K$16,$G24-$G$21)</f>
        <v>7.5165950800468563E-3</v>
      </c>
      <c r="M24" s="119">
        <f>K24*L24</f>
        <v>7.2233001293612693E-3</v>
      </c>
      <c r="N24" s="117">
        <f>techDF($G24-$N$16,$J$4)</f>
        <v>0.97059014792764431</v>
      </c>
      <c r="O24" s="118">
        <f>n_1qx($J$1+N$16,$G24-$G$22)</f>
        <v>7.5637681317601863E-3</v>
      </c>
      <c r="P24" s="119">
        <f>N24*O24</f>
        <v>7.3413188298955207E-3</v>
      </c>
      <c r="Q24" s="117">
        <f>techDF($G24-$Q$16,$J$4)</f>
        <v>0.98029604940692083</v>
      </c>
      <c r="R24" s="118">
        <f>n_1qx($J$1+Q$16,$G24-$G$23)</f>
        <v>7.6146315199595643E-3</v>
      </c>
      <c r="S24" s="119">
        <f>Q24*R24</f>
        <v>7.4645931967057778E-3</v>
      </c>
      <c r="T24" s="120">
        <f>techDF($G24-$T$16,$J$4)</f>
        <v>0.99009900990099009</v>
      </c>
      <c r="U24" s="121">
        <f>n_1qx($J$1+T$16,$G24-$G$24)</f>
        <v>7.6694924633126009E-3</v>
      </c>
      <c r="V24" s="122">
        <f>T24*U24</f>
        <v>7.5935568943689118E-3</v>
      </c>
    </row>
    <row r="25" spans="1:39" x14ac:dyDescent="0.2">
      <c r="A25" s="29">
        <f t="shared" si="6"/>
        <v>15</v>
      </c>
      <c r="B25" s="96">
        <v>99250</v>
      </c>
      <c r="C25" s="54">
        <f t="shared" si="2"/>
        <v>99250</v>
      </c>
      <c r="D25" s="90">
        <f t="shared" si="3"/>
        <v>0</v>
      </c>
      <c r="E25" s="54">
        <f t="shared" si="4"/>
        <v>37</v>
      </c>
      <c r="F25" s="32">
        <f t="shared" si="5"/>
        <v>3.7279596977329973E-4</v>
      </c>
    </row>
    <row r="26" spans="1:39" x14ac:dyDescent="0.2">
      <c r="A26" s="29">
        <f t="shared" si="6"/>
        <v>16</v>
      </c>
      <c r="B26" s="96">
        <v>99213</v>
      </c>
      <c r="C26" s="54">
        <f t="shared" si="2"/>
        <v>99213</v>
      </c>
      <c r="D26" s="90">
        <f t="shared" si="3"/>
        <v>0</v>
      </c>
      <c r="E26" s="54">
        <f t="shared" si="4"/>
        <v>50</v>
      </c>
      <c r="F26" s="32">
        <f t="shared" si="5"/>
        <v>5.0396621410500641E-4</v>
      </c>
      <c r="I26" s="8" t="s">
        <v>21</v>
      </c>
      <c r="J26" s="15">
        <f>SUM(J20:J24)</f>
        <v>3.2104994716798473E-2</v>
      </c>
      <c r="L26" s="8" t="s">
        <v>22</v>
      </c>
      <c r="M26" s="15">
        <f>SUM(M21:M24)</f>
        <v>2.6758879755711666E-2</v>
      </c>
      <c r="O26" s="8" t="s">
        <v>26</v>
      </c>
      <c r="P26" s="15">
        <f>SUM(P22:P24)</f>
        <v>2.0920228929363016E-2</v>
      </c>
      <c r="R26" s="8" t="s">
        <v>28</v>
      </c>
      <c r="S26" s="15">
        <f>SUM(S23:S24)</f>
        <v>1.4546908741822684E-2</v>
      </c>
      <c r="U26" s="8" t="s">
        <v>29</v>
      </c>
      <c r="V26" s="15">
        <f>V24</f>
        <v>7.5935568943689118E-3</v>
      </c>
      <c r="Z26" s="8" t="s">
        <v>31</v>
      </c>
      <c r="AA26" s="11">
        <f>SUM(AA19:AA23)</f>
        <v>4.8416965730575878</v>
      </c>
      <c r="AC26" s="8" t="s">
        <v>32</v>
      </c>
      <c r="AD26" s="11">
        <f>SUM(AD20:AD23)</f>
        <v>3.9028397016471335</v>
      </c>
      <c r="AF26" s="8" t="s">
        <v>33</v>
      </c>
      <c r="AG26" s="11">
        <f>SUM(AG21:AG23)</f>
        <v>2.9502680741793883</v>
      </c>
      <c r="AI26" s="8" t="s">
        <v>34</v>
      </c>
      <c r="AJ26" s="11">
        <f>SUM(AJ22:AJ23)</f>
        <v>1.9830166943558731</v>
      </c>
      <c r="AL26" s="8" t="s">
        <v>35</v>
      </c>
      <c r="AM26" s="45">
        <f>AM23</f>
        <v>1</v>
      </c>
    </row>
    <row r="27" spans="1:39" x14ac:dyDescent="0.2">
      <c r="A27" s="29">
        <f t="shared" si="6"/>
        <v>17</v>
      </c>
      <c r="B27" s="96">
        <v>99163</v>
      </c>
      <c r="C27" s="54">
        <f t="shared" si="2"/>
        <v>99163</v>
      </c>
      <c r="D27" s="90">
        <f t="shared" si="3"/>
        <v>0</v>
      </c>
      <c r="E27" s="54">
        <f t="shared" si="4"/>
        <v>66</v>
      </c>
      <c r="F27" s="32">
        <f t="shared" si="5"/>
        <v>6.6557082782892811E-4</v>
      </c>
      <c r="J27" s="15">
        <f>nax($J$1+H16,5,$J$4)</f>
        <v>3.2104994716798473E-2</v>
      </c>
      <c r="M27" s="15">
        <f>nax($J$1+K16,4,$J$4)</f>
        <v>2.675887975571167E-2</v>
      </c>
      <c r="P27" s="15">
        <f>nax(52,3,J4)</f>
        <v>2.0920228929363016E-2</v>
      </c>
      <c r="S27" s="15">
        <f>nax(53,2,J4)</f>
        <v>1.4546908741822684E-2</v>
      </c>
      <c r="V27" s="15">
        <f>nax(54,1,J4)</f>
        <v>7.5935568943689118E-3</v>
      </c>
      <c r="AA27" s="45">
        <f>AnnuityFactor($J$1+Y16,5,$J$4)</f>
        <v>4.8416965730575878</v>
      </c>
      <c r="AD27" s="45">
        <f>AnnuityFactor($J$1+AB16,4,$J$4)</f>
        <v>3.9028397016471335</v>
      </c>
      <c r="AG27" s="11">
        <f>AnnuityFactor(52,3,1%)</f>
        <v>2.9502680741793883</v>
      </c>
      <c r="AJ27" s="11">
        <f>AnnuityFactor(53,2,1%)</f>
        <v>1.9830166943558731</v>
      </c>
      <c r="AM27" s="45">
        <f>AnnuityFactor(54,1,1%)</f>
        <v>1</v>
      </c>
    </row>
    <row r="28" spans="1:39" x14ac:dyDescent="0.2">
      <c r="A28" s="29">
        <f t="shared" si="6"/>
        <v>18</v>
      </c>
      <c r="B28" s="96">
        <v>99097</v>
      </c>
      <c r="C28" s="54">
        <f t="shared" si="2"/>
        <v>99097</v>
      </c>
      <c r="D28" s="90">
        <f t="shared" si="3"/>
        <v>0</v>
      </c>
      <c r="E28" s="54">
        <f t="shared" si="4"/>
        <v>82</v>
      </c>
      <c r="F28" s="32">
        <f t="shared" si="5"/>
        <v>8.2747207281754236E-4</v>
      </c>
      <c r="J28" s="20" t="str">
        <f>IF(J27=J26,"OK","error")</f>
        <v>OK</v>
      </c>
      <c r="M28" s="20" t="str">
        <f>IF(M27=M26,"OK","error")</f>
        <v>OK</v>
      </c>
      <c r="P28" s="20" t="str">
        <f>IF(P27=P26,"OK","error")</f>
        <v>OK</v>
      </c>
      <c r="S28" s="20" t="str">
        <f>IF(S27=S26,"OK","error")</f>
        <v>OK</v>
      </c>
      <c r="V28" s="20" t="str">
        <f>IF(V27=V26,"OK","error")</f>
        <v>OK</v>
      </c>
      <c r="AA28" s="20" t="str">
        <f>IF(AA27=AA26,"OK","error")</f>
        <v>OK</v>
      </c>
      <c r="AD28" s="20" t="str">
        <f>IF(AD27=AD26,"OK","error")</f>
        <v>OK</v>
      </c>
      <c r="AG28" s="20" t="str">
        <f>IF(AG27=AG26,"OK","error")</f>
        <v>OK</v>
      </c>
      <c r="AJ28" s="20" t="str">
        <f>IF(AJ27=AJ26,"OK","error")</f>
        <v>OK</v>
      </c>
      <c r="AM28" s="20" t="str">
        <f>IF(AM27=AM26,"OK","error")</f>
        <v>OK</v>
      </c>
    </row>
    <row r="29" spans="1:39" x14ac:dyDescent="0.2">
      <c r="A29" s="29">
        <f t="shared" si="6"/>
        <v>19</v>
      </c>
      <c r="B29" s="96">
        <v>99015</v>
      </c>
      <c r="C29" s="54">
        <f t="shared" si="2"/>
        <v>99015</v>
      </c>
      <c r="D29" s="90">
        <f t="shared" si="3"/>
        <v>0</v>
      </c>
      <c r="E29" s="54">
        <f t="shared" si="4"/>
        <v>94</v>
      </c>
      <c r="F29" s="32">
        <f t="shared" si="5"/>
        <v>9.4935110841791643E-4</v>
      </c>
    </row>
    <row r="30" spans="1:39" x14ac:dyDescent="0.2">
      <c r="A30" s="29">
        <f t="shared" si="6"/>
        <v>20</v>
      </c>
      <c r="B30" s="96">
        <v>98921</v>
      </c>
      <c r="C30" s="54">
        <f t="shared" si="2"/>
        <v>98921</v>
      </c>
      <c r="D30" s="90">
        <f t="shared" si="3"/>
        <v>0</v>
      </c>
      <c r="E30" s="54">
        <f t="shared" si="4"/>
        <v>101</v>
      </c>
      <c r="F30" s="32">
        <f t="shared" si="5"/>
        <v>1.0210167709586437E-3</v>
      </c>
    </row>
    <row r="31" spans="1:39" x14ac:dyDescent="0.2">
      <c r="A31" s="29">
        <f t="shared" si="6"/>
        <v>21</v>
      </c>
      <c r="B31" s="96">
        <v>98820</v>
      </c>
      <c r="C31" s="54">
        <f t="shared" si="2"/>
        <v>98820</v>
      </c>
      <c r="D31" s="90">
        <f t="shared" si="3"/>
        <v>0</v>
      </c>
      <c r="E31" s="54">
        <f t="shared" si="4"/>
        <v>104</v>
      </c>
      <c r="F31" s="32">
        <f t="shared" si="5"/>
        <v>1.0524185387573365E-3</v>
      </c>
    </row>
    <row r="32" spans="1:39" x14ac:dyDescent="0.2">
      <c r="A32" s="29">
        <f t="shared" si="6"/>
        <v>22</v>
      </c>
      <c r="B32" s="96">
        <v>98716</v>
      </c>
      <c r="C32" s="54">
        <f t="shared" si="2"/>
        <v>98716</v>
      </c>
      <c r="D32" s="90">
        <f t="shared" si="3"/>
        <v>0</v>
      </c>
      <c r="E32" s="54">
        <f t="shared" si="4"/>
        <v>104</v>
      </c>
      <c r="F32" s="32">
        <f t="shared" si="5"/>
        <v>1.0535272904088496E-3</v>
      </c>
    </row>
    <row r="33" spans="1:47" ht="13.5" thickBot="1" x14ac:dyDescent="0.25">
      <c r="A33" s="29">
        <f t="shared" si="6"/>
        <v>23</v>
      </c>
      <c r="B33" s="96">
        <v>98612</v>
      </c>
      <c r="C33" s="54">
        <f t="shared" si="2"/>
        <v>98612</v>
      </c>
      <c r="D33" s="90">
        <f t="shared" si="3"/>
        <v>0</v>
      </c>
      <c r="E33" s="54">
        <f t="shared" si="4"/>
        <v>103</v>
      </c>
      <c r="F33" s="32">
        <f t="shared" si="5"/>
        <v>1.0444976270636433E-3</v>
      </c>
    </row>
    <row r="34" spans="1:47" ht="13.5" thickBot="1" x14ac:dyDescent="0.25">
      <c r="A34" s="29">
        <f t="shared" si="6"/>
        <v>24</v>
      </c>
      <c r="B34" s="96">
        <v>98509</v>
      </c>
      <c r="C34" s="54">
        <f t="shared" si="2"/>
        <v>98509</v>
      </c>
      <c r="D34" s="90">
        <f t="shared" si="3"/>
        <v>0</v>
      </c>
      <c r="E34" s="54">
        <f t="shared" si="4"/>
        <v>103</v>
      </c>
      <c r="F34" s="32">
        <f t="shared" si="5"/>
        <v>1.0455897430691611E-3</v>
      </c>
      <c r="O34" s="125" t="s">
        <v>4</v>
      </c>
      <c r="P34" s="126" t="s">
        <v>63</v>
      </c>
      <c r="Q34" s="126" t="s">
        <v>62</v>
      </c>
      <c r="R34" s="127" t="s">
        <v>59</v>
      </c>
    </row>
    <row r="35" spans="1:47" x14ac:dyDescent="0.2">
      <c r="A35" s="29">
        <f t="shared" si="6"/>
        <v>25</v>
      </c>
      <c r="B35" s="96">
        <v>98406</v>
      </c>
      <c r="C35" s="54">
        <f t="shared" si="2"/>
        <v>98406</v>
      </c>
      <c r="D35" s="90">
        <f t="shared" si="3"/>
        <v>0</v>
      </c>
      <c r="E35" s="54">
        <f t="shared" si="4"/>
        <v>103</v>
      </c>
      <c r="F35" s="32">
        <f t="shared" si="5"/>
        <v>1.0466841452756947E-3</v>
      </c>
      <c r="O35" s="123">
        <f>J1</f>
        <v>50</v>
      </c>
      <c r="P35" s="64">
        <f>techDF(1,$J$4)*F60*$J$5</f>
        <v>0.57653280856035916</v>
      </c>
      <c r="Q35" s="64">
        <f>$G$3</f>
        <v>0.66309390174204563</v>
      </c>
      <c r="R35" s="94">
        <f>L7</f>
        <v>0</v>
      </c>
    </row>
    <row r="36" spans="1:47" x14ac:dyDescent="0.2">
      <c r="A36" s="29">
        <f t="shared" si="6"/>
        <v>26</v>
      </c>
      <c r="B36" s="96">
        <v>98303</v>
      </c>
      <c r="C36" s="54">
        <f t="shared" si="2"/>
        <v>98303</v>
      </c>
      <c r="D36" s="90">
        <f t="shared" si="3"/>
        <v>0</v>
      </c>
      <c r="E36" s="54">
        <f t="shared" si="4"/>
        <v>105</v>
      </c>
      <c r="F36" s="32">
        <f t="shared" si="5"/>
        <v>1.0681260999155671E-3</v>
      </c>
      <c r="O36" s="124">
        <f>O35+1</f>
        <v>51</v>
      </c>
      <c r="P36" s="66">
        <f>techDF(1,$J$4)*F61*$J$5</f>
        <v>0.61749634549554133</v>
      </c>
      <c r="Q36" s="66">
        <f>$G$3</f>
        <v>0.66309390174204563</v>
      </c>
      <c r="R36" s="32">
        <f>M7</f>
        <v>8.7938769932207617E-2</v>
      </c>
    </row>
    <row r="37" spans="1:47" x14ac:dyDescent="0.2">
      <c r="A37" s="29">
        <f t="shared" si="6"/>
        <v>27</v>
      </c>
      <c r="B37" s="96">
        <v>98198</v>
      </c>
      <c r="C37" s="54">
        <f t="shared" si="2"/>
        <v>98198</v>
      </c>
      <c r="D37" s="90">
        <f t="shared" si="3"/>
        <v>0</v>
      </c>
      <c r="E37" s="54">
        <f t="shared" si="4"/>
        <v>107</v>
      </c>
      <c r="F37" s="32">
        <f t="shared" si="5"/>
        <v>1.0896352267866962E-3</v>
      </c>
      <c r="O37" s="124">
        <f>O36+1</f>
        <v>52</v>
      </c>
      <c r="P37" s="66">
        <f>techDF(1,$J$4)*F62*$J$5</f>
        <v>0.66135557793454114</v>
      </c>
      <c r="Q37" s="66">
        <f>$G$3</f>
        <v>0.66309390174204563</v>
      </c>
      <c r="R37" s="32">
        <f>N7</f>
        <v>0.13571812444370024</v>
      </c>
    </row>
    <row r="38" spans="1:47" x14ac:dyDescent="0.2">
      <c r="A38" s="29">
        <f t="shared" si="6"/>
        <v>28</v>
      </c>
      <c r="B38" s="96">
        <v>98091</v>
      </c>
      <c r="C38" s="54">
        <f t="shared" si="2"/>
        <v>98091</v>
      </c>
      <c r="D38" s="90">
        <f t="shared" si="3"/>
        <v>0</v>
      </c>
      <c r="E38" s="54">
        <f t="shared" si="4"/>
        <v>109</v>
      </c>
      <c r="F38" s="32">
        <f t="shared" si="5"/>
        <v>1.1112130572631536E-3</v>
      </c>
      <c r="O38" s="124">
        <f>O37+1</f>
        <v>53</v>
      </c>
      <c r="P38" s="66">
        <f>techDF(1,$J$4)*F63*$J$5</f>
        <v>0.70823155451169062</v>
      </c>
      <c r="Q38" s="66">
        <f>$G$3</f>
        <v>0.66309390174204563</v>
      </c>
      <c r="R38" s="32">
        <f>O7</f>
        <v>0.139764597102219</v>
      </c>
    </row>
    <row r="39" spans="1:47" x14ac:dyDescent="0.2">
      <c r="A39" s="29">
        <f t="shared" si="6"/>
        <v>29</v>
      </c>
      <c r="B39" s="96">
        <v>97982</v>
      </c>
      <c r="C39" s="54">
        <f t="shared" si="2"/>
        <v>97982</v>
      </c>
      <c r="D39" s="90">
        <f t="shared" si="3"/>
        <v>0</v>
      </c>
      <c r="E39" s="54">
        <f t="shared" si="4"/>
        <v>112</v>
      </c>
      <c r="F39" s="32">
        <f t="shared" si="5"/>
        <v>1.1430670939560328E-3</v>
      </c>
      <c r="O39" s="124">
        <f>O38+1</f>
        <v>54</v>
      </c>
      <c r="P39" s="66">
        <f>techDF(1,$J$4)*F64*$J$5</f>
        <v>0.75935568943689113</v>
      </c>
      <c r="Q39" s="66">
        <f>$G$3</f>
        <v>0.66309390174204563</v>
      </c>
      <c r="R39" s="32">
        <f>P7</f>
        <v>9.6261787694845502E-2</v>
      </c>
    </row>
    <row r="40" spans="1:47" ht="13.5" thickBot="1" x14ac:dyDescent="0.25">
      <c r="A40" s="29">
        <f t="shared" si="6"/>
        <v>30</v>
      </c>
      <c r="B40" s="96">
        <v>97870</v>
      </c>
      <c r="C40" s="54">
        <f t="shared" si="2"/>
        <v>97870</v>
      </c>
      <c r="D40" s="90">
        <f t="shared" si="3"/>
        <v>0</v>
      </c>
      <c r="E40" s="54">
        <f t="shared" si="4"/>
        <v>114</v>
      </c>
      <c r="F40" s="32">
        <f t="shared" si="5"/>
        <v>1.1648104628588945E-3</v>
      </c>
      <c r="O40" s="99">
        <f>O39+1</f>
        <v>55</v>
      </c>
      <c r="P40" s="68"/>
      <c r="Q40" s="68"/>
      <c r="R40" s="128">
        <f>Q7</f>
        <v>0</v>
      </c>
    </row>
    <row r="41" spans="1:47" x14ac:dyDescent="0.2">
      <c r="A41" s="29">
        <f t="shared" si="6"/>
        <v>31</v>
      </c>
      <c r="B41" s="96">
        <v>97756</v>
      </c>
      <c r="C41" s="54">
        <f t="shared" si="2"/>
        <v>97756</v>
      </c>
      <c r="D41" s="90">
        <f t="shared" si="3"/>
        <v>0</v>
      </c>
      <c r="E41" s="54">
        <f t="shared" si="4"/>
        <v>117</v>
      </c>
      <c r="F41" s="32">
        <f t="shared" si="5"/>
        <v>1.1968574818936946E-3</v>
      </c>
    </row>
    <row r="42" spans="1:47" x14ac:dyDescent="0.2">
      <c r="A42" s="29">
        <f t="shared" si="6"/>
        <v>32</v>
      </c>
      <c r="B42" s="96">
        <v>97639</v>
      </c>
      <c r="C42" s="54">
        <f t="shared" ref="C42:C73" si="7">lx(A42)</f>
        <v>97639</v>
      </c>
      <c r="D42" s="90">
        <f t="shared" ref="D42:D73" si="8">(B42&lt;&gt;C42)*1</f>
        <v>0</v>
      </c>
      <c r="E42" s="54">
        <f t="shared" ref="E42:E73" si="9">dx(A42)</f>
        <v>122</v>
      </c>
      <c r="F42" s="32">
        <f t="shared" ref="F42:F73" si="10">qx(A42)</f>
        <v>1.2495007118057335E-3</v>
      </c>
      <c r="AU42" s="145"/>
    </row>
    <row r="43" spans="1:47" x14ac:dyDescent="0.2">
      <c r="A43" s="29">
        <f t="shared" ref="A43:A74" si="11">A42+1</f>
        <v>33</v>
      </c>
      <c r="B43" s="96">
        <v>97517</v>
      </c>
      <c r="C43" s="54">
        <f t="shared" si="7"/>
        <v>97517</v>
      </c>
      <c r="D43" s="90">
        <f t="shared" si="8"/>
        <v>0</v>
      </c>
      <c r="E43" s="54">
        <f t="shared" si="9"/>
        <v>129</v>
      </c>
      <c r="F43" s="32">
        <f t="shared" si="10"/>
        <v>1.3228462729575356E-3</v>
      </c>
      <c r="AU43" s="145"/>
    </row>
    <row r="44" spans="1:47" x14ac:dyDescent="0.2">
      <c r="A44" s="29">
        <f t="shared" si="11"/>
        <v>34</v>
      </c>
      <c r="B44" s="96">
        <v>97388</v>
      </c>
      <c r="C44" s="54">
        <f t="shared" si="7"/>
        <v>97388</v>
      </c>
      <c r="D44" s="90">
        <f t="shared" si="8"/>
        <v>0</v>
      </c>
      <c r="E44" s="54">
        <f t="shared" si="9"/>
        <v>139</v>
      </c>
      <c r="F44" s="32">
        <f t="shared" si="10"/>
        <v>1.427280568447858E-3</v>
      </c>
      <c r="AU44" s="145"/>
    </row>
    <row r="45" spans="1:47" x14ac:dyDescent="0.2">
      <c r="A45" s="29">
        <f t="shared" si="11"/>
        <v>35</v>
      </c>
      <c r="B45" s="96">
        <v>97249</v>
      </c>
      <c r="C45" s="54">
        <f t="shared" si="7"/>
        <v>97249</v>
      </c>
      <c r="D45" s="90">
        <f t="shared" si="8"/>
        <v>0</v>
      </c>
      <c r="E45" s="54">
        <f t="shared" si="9"/>
        <v>149</v>
      </c>
      <c r="F45" s="32">
        <f t="shared" si="10"/>
        <v>1.5321494308424765E-3</v>
      </c>
      <c r="AU45" s="145"/>
    </row>
    <row r="46" spans="1:47" x14ac:dyDescent="0.2">
      <c r="A46" s="29">
        <f t="shared" si="11"/>
        <v>36</v>
      </c>
      <c r="B46" s="96">
        <v>97100</v>
      </c>
      <c r="C46" s="54">
        <f t="shared" si="7"/>
        <v>97100</v>
      </c>
      <c r="D46" s="90">
        <f t="shared" si="8"/>
        <v>0</v>
      </c>
      <c r="E46" s="54">
        <f t="shared" si="9"/>
        <v>161</v>
      </c>
      <c r="F46" s="32">
        <f t="shared" si="10"/>
        <v>1.6580844490216272E-3</v>
      </c>
      <c r="AU46" s="145"/>
    </row>
    <row r="47" spans="1:47" x14ac:dyDescent="0.2">
      <c r="A47" s="29">
        <f t="shared" si="11"/>
        <v>37</v>
      </c>
      <c r="B47" s="96">
        <v>96939</v>
      </c>
      <c r="C47" s="54">
        <f t="shared" si="7"/>
        <v>96939</v>
      </c>
      <c r="D47" s="90">
        <f t="shared" si="8"/>
        <v>0</v>
      </c>
      <c r="E47" s="54">
        <f t="shared" si="9"/>
        <v>174</v>
      </c>
      <c r="F47" s="32">
        <f t="shared" si="10"/>
        <v>1.7949432117104571E-3</v>
      </c>
      <c r="AU47" s="145"/>
    </row>
    <row r="48" spans="1:47" x14ac:dyDescent="0.2">
      <c r="A48" s="29">
        <f t="shared" si="11"/>
        <v>38</v>
      </c>
      <c r="B48" s="96">
        <v>96765</v>
      </c>
      <c r="C48" s="54">
        <f t="shared" si="7"/>
        <v>96765</v>
      </c>
      <c r="D48" s="90">
        <f t="shared" si="8"/>
        <v>0</v>
      </c>
      <c r="E48" s="54">
        <f t="shared" si="9"/>
        <v>189</v>
      </c>
      <c r="F48" s="32">
        <f t="shared" si="10"/>
        <v>1.9531855526274998E-3</v>
      </c>
      <c r="AU48" s="145"/>
    </row>
    <row r="49" spans="1:47" x14ac:dyDescent="0.2">
      <c r="A49" s="29">
        <f t="shared" si="11"/>
        <v>39</v>
      </c>
      <c r="B49" s="96">
        <v>96576</v>
      </c>
      <c r="C49" s="54">
        <f t="shared" si="7"/>
        <v>96576</v>
      </c>
      <c r="D49" s="90">
        <f t="shared" si="8"/>
        <v>0</v>
      </c>
      <c r="E49" s="54">
        <f t="shared" si="9"/>
        <v>207</v>
      </c>
      <c r="F49" s="32">
        <f t="shared" si="10"/>
        <v>2.143389662027833E-3</v>
      </c>
      <c r="AU49" s="145"/>
    </row>
    <row r="50" spans="1:47" x14ac:dyDescent="0.2">
      <c r="A50" s="29">
        <f t="shared" si="11"/>
        <v>40</v>
      </c>
      <c r="B50" s="96">
        <v>96369</v>
      </c>
      <c r="C50" s="54">
        <f t="shared" si="7"/>
        <v>96369</v>
      </c>
      <c r="D50" s="90">
        <f t="shared" si="8"/>
        <v>0</v>
      </c>
      <c r="E50" s="54">
        <f t="shared" si="9"/>
        <v>228</v>
      </c>
      <c r="F50" s="32">
        <f t="shared" si="10"/>
        <v>2.3659060486255954E-3</v>
      </c>
      <c r="AU50" s="145"/>
    </row>
    <row r="51" spans="1:47" x14ac:dyDescent="0.2">
      <c r="A51" s="29">
        <f t="shared" si="11"/>
        <v>41</v>
      </c>
      <c r="B51" s="96">
        <v>96141</v>
      </c>
      <c r="C51" s="54">
        <f t="shared" si="7"/>
        <v>96141</v>
      </c>
      <c r="D51" s="90">
        <f t="shared" si="8"/>
        <v>0</v>
      </c>
      <c r="E51" s="54">
        <f t="shared" si="9"/>
        <v>254</v>
      </c>
      <c r="F51" s="32">
        <f t="shared" si="10"/>
        <v>2.6419529649161127E-3</v>
      </c>
      <c r="AU51" s="145" t="s">
        <v>74</v>
      </c>
    </row>
    <row r="52" spans="1:47" x14ac:dyDescent="0.2">
      <c r="A52" s="29">
        <f t="shared" si="11"/>
        <v>42</v>
      </c>
      <c r="B52" s="96">
        <v>95887</v>
      </c>
      <c r="C52" s="54">
        <f t="shared" si="7"/>
        <v>95887</v>
      </c>
      <c r="D52" s="90">
        <f t="shared" si="8"/>
        <v>0</v>
      </c>
      <c r="E52" s="54">
        <f t="shared" si="9"/>
        <v>281</v>
      </c>
      <c r="F52" s="32">
        <f t="shared" si="10"/>
        <v>2.9305328146672647E-3</v>
      </c>
      <c r="AU52" s="145" t="s">
        <v>75</v>
      </c>
    </row>
    <row r="53" spans="1:47" x14ac:dyDescent="0.2">
      <c r="A53" s="29">
        <f t="shared" si="11"/>
        <v>43</v>
      </c>
      <c r="B53" s="96">
        <v>95606</v>
      </c>
      <c r="C53" s="54">
        <f t="shared" si="7"/>
        <v>95606</v>
      </c>
      <c r="D53" s="90">
        <f t="shared" si="8"/>
        <v>0</v>
      </c>
      <c r="E53" s="104">
        <f t="shared" si="9"/>
        <v>311</v>
      </c>
      <c r="F53" s="32">
        <f t="shared" si="10"/>
        <v>3.2529339162814049E-3</v>
      </c>
      <c r="AU53" s="145"/>
    </row>
    <row r="54" spans="1:47" x14ac:dyDescent="0.2">
      <c r="A54" s="29">
        <f t="shared" si="11"/>
        <v>44</v>
      </c>
      <c r="B54" s="96">
        <v>95295</v>
      </c>
      <c r="C54" s="54">
        <f t="shared" si="7"/>
        <v>95295</v>
      </c>
      <c r="D54" s="90">
        <f t="shared" si="8"/>
        <v>0</v>
      </c>
      <c r="E54" s="104">
        <f t="shared" si="9"/>
        <v>343</v>
      </c>
      <c r="F54" s="32">
        <f t="shared" si="10"/>
        <v>3.5993493887402279E-3</v>
      </c>
      <c r="AU54" s="145"/>
    </row>
    <row r="55" spans="1:47" x14ac:dyDescent="0.2">
      <c r="A55" s="29">
        <f t="shared" si="11"/>
        <v>45</v>
      </c>
      <c r="B55" s="96">
        <v>94952</v>
      </c>
      <c r="C55" s="54">
        <f t="shared" si="7"/>
        <v>94952</v>
      </c>
      <c r="D55" s="90">
        <f t="shared" si="8"/>
        <v>0</v>
      </c>
      <c r="E55" s="104">
        <f t="shared" si="9"/>
        <v>377</v>
      </c>
      <c r="F55" s="32">
        <f t="shared" si="10"/>
        <v>3.9704271631982478E-3</v>
      </c>
      <c r="AU55" s="145"/>
    </row>
    <row r="56" spans="1:47" x14ac:dyDescent="0.2">
      <c r="A56" s="29">
        <f t="shared" si="11"/>
        <v>46</v>
      </c>
      <c r="B56" s="96">
        <v>94575</v>
      </c>
      <c r="C56" s="54">
        <f t="shared" si="7"/>
        <v>94575</v>
      </c>
      <c r="D56" s="90">
        <f t="shared" si="8"/>
        <v>0</v>
      </c>
      <c r="E56" s="104">
        <f t="shared" si="9"/>
        <v>411</v>
      </c>
      <c r="F56" s="32">
        <f t="shared" si="10"/>
        <v>4.3457573354480569E-3</v>
      </c>
      <c r="AU56" s="145"/>
    </row>
    <row r="57" spans="1:47" x14ac:dyDescent="0.2">
      <c r="A57" s="29">
        <f t="shared" si="11"/>
        <v>47</v>
      </c>
      <c r="B57" s="96">
        <v>94164</v>
      </c>
      <c r="C57" s="54">
        <f t="shared" si="7"/>
        <v>94164</v>
      </c>
      <c r="D57" s="90">
        <f t="shared" si="8"/>
        <v>0</v>
      </c>
      <c r="E57" s="104">
        <f t="shared" si="9"/>
        <v>444</v>
      </c>
      <c r="F57" s="32">
        <f t="shared" si="10"/>
        <v>4.7151777749458394E-3</v>
      </c>
      <c r="AU57" s="145"/>
    </row>
    <row r="58" spans="1:47" x14ac:dyDescent="0.2">
      <c r="A58" s="29">
        <f t="shared" si="11"/>
        <v>48</v>
      </c>
      <c r="B58" s="96">
        <v>93720</v>
      </c>
      <c r="C58" s="54">
        <f t="shared" si="7"/>
        <v>93720</v>
      </c>
      <c r="D58" s="90">
        <f t="shared" si="8"/>
        <v>0</v>
      </c>
      <c r="E58" s="104">
        <f t="shared" si="9"/>
        <v>476</v>
      </c>
      <c r="F58" s="32">
        <f t="shared" si="10"/>
        <v>5.0789586000853605E-3</v>
      </c>
      <c r="AU58" s="145"/>
    </row>
    <row r="59" spans="1:47" x14ac:dyDescent="0.2">
      <c r="A59" s="29">
        <f t="shared" si="11"/>
        <v>49</v>
      </c>
      <c r="B59" s="96">
        <v>93244</v>
      </c>
      <c r="C59" s="54">
        <f t="shared" si="7"/>
        <v>93244</v>
      </c>
      <c r="D59" s="90">
        <f t="shared" si="8"/>
        <v>0</v>
      </c>
      <c r="E59" s="104">
        <f t="shared" si="9"/>
        <v>508</v>
      </c>
      <c r="F59" s="32">
        <f t="shared" si="10"/>
        <v>5.4480717257946896E-3</v>
      </c>
      <c r="AU59" s="145"/>
    </row>
    <row r="60" spans="1:47" x14ac:dyDescent="0.2">
      <c r="A60" s="29">
        <f t="shared" si="11"/>
        <v>50</v>
      </c>
      <c r="B60" s="96">
        <v>92736</v>
      </c>
      <c r="C60" s="54">
        <f t="shared" si="7"/>
        <v>92736</v>
      </c>
      <c r="D60" s="90">
        <f t="shared" si="8"/>
        <v>0</v>
      </c>
      <c r="E60" s="104">
        <f t="shared" si="9"/>
        <v>540</v>
      </c>
      <c r="F60" s="32">
        <f t="shared" si="10"/>
        <v>5.822981366459627E-3</v>
      </c>
      <c r="AU60" s="145"/>
    </row>
    <row r="61" spans="1:47" x14ac:dyDescent="0.2">
      <c r="A61" s="29">
        <f t="shared" si="11"/>
        <v>51</v>
      </c>
      <c r="B61" s="96">
        <v>92196</v>
      </c>
      <c r="C61" s="54">
        <f t="shared" si="7"/>
        <v>92196</v>
      </c>
      <c r="D61" s="90">
        <f t="shared" si="8"/>
        <v>0</v>
      </c>
      <c r="E61" s="104">
        <f t="shared" si="9"/>
        <v>575</v>
      </c>
      <c r="F61" s="32">
        <f t="shared" si="10"/>
        <v>6.2367130895049673E-3</v>
      </c>
      <c r="AU61" s="145"/>
    </row>
    <row r="62" spans="1:47" x14ac:dyDescent="0.2">
      <c r="A62" s="29">
        <f t="shared" si="11"/>
        <v>52</v>
      </c>
      <c r="B62" s="96">
        <v>91621</v>
      </c>
      <c r="C62" s="54">
        <f t="shared" si="7"/>
        <v>91621</v>
      </c>
      <c r="D62" s="90">
        <f t="shared" si="8"/>
        <v>0</v>
      </c>
      <c r="E62" s="104">
        <f t="shared" si="9"/>
        <v>612</v>
      </c>
      <c r="F62" s="32">
        <f t="shared" si="10"/>
        <v>6.6796913371388652E-3</v>
      </c>
      <c r="AU62" s="145"/>
    </row>
    <row r="63" spans="1:47" x14ac:dyDescent="0.2">
      <c r="A63" s="29">
        <f t="shared" si="11"/>
        <v>53</v>
      </c>
      <c r="B63" s="96">
        <v>91009</v>
      </c>
      <c r="C63" s="54">
        <f t="shared" si="7"/>
        <v>91009</v>
      </c>
      <c r="D63" s="90">
        <f t="shared" si="8"/>
        <v>0</v>
      </c>
      <c r="E63" s="104">
        <f t="shared" si="9"/>
        <v>651</v>
      </c>
      <c r="F63" s="32">
        <f t="shared" si="10"/>
        <v>7.1531387005680756E-3</v>
      </c>
      <c r="AU63" s="145"/>
    </row>
    <row r="64" spans="1:47" x14ac:dyDescent="0.2">
      <c r="A64" s="29">
        <f t="shared" si="11"/>
        <v>54</v>
      </c>
      <c r="B64" s="96">
        <v>90358</v>
      </c>
      <c r="C64" s="54">
        <f t="shared" si="7"/>
        <v>90358</v>
      </c>
      <c r="D64" s="90">
        <f t="shared" si="8"/>
        <v>0</v>
      </c>
      <c r="E64" s="104">
        <f t="shared" si="9"/>
        <v>693</v>
      </c>
      <c r="F64" s="32">
        <f t="shared" si="10"/>
        <v>7.6694924633126009E-3</v>
      </c>
      <c r="AU64" s="145"/>
    </row>
    <row r="65" spans="1:47" x14ac:dyDescent="0.2">
      <c r="A65" s="29">
        <f t="shared" si="11"/>
        <v>55</v>
      </c>
      <c r="B65" s="96">
        <v>89665</v>
      </c>
      <c r="C65" s="54">
        <f t="shared" si="7"/>
        <v>89665</v>
      </c>
      <c r="D65" s="90">
        <f t="shared" si="8"/>
        <v>0</v>
      </c>
      <c r="E65" s="104">
        <f t="shared" si="9"/>
        <v>736</v>
      </c>
      <c r="F65" s="32">
        <f t="shared" si="10"/>
        <v>8.2083310098700728E-3</v>
      </c>
      <c r="AU65" s="145"/>
    </row>
    <row r="66" spans="1:47" x14ac:dyDescent="0.2">
      <c r="A66" s="29">
        <f t="shared" si="11"/>
        <v>56</v>
      </c>
      <c r="B66" s="96">
        <v>88929</v>
      </c>
      <c r="C66" s="54">
        <f t="shared" si="7"/>
        <v>88929</v>
      </c>
      <c r="D66" s="90">
        <f t="shared" si="8"/>
        <v>0</v>
      </c>
      <c r="E66" s="104">
        <f t="shared" si="9"/>
        <v>778</v>
      </c>
      <c r="F66" s="32">
        <f t="shared" si="10"/>
        <v>8.748552215812614E-3</v>
      </c>
      <c r="AU66" s="145"/>
    </row>
    <row r="67" spans="1:47" x14ac:dyDescent="0.2">
      <c r="A67" s="29">
        <f t="shared" si="11"/>
        <v>57</v>
      </c>
      <c r="B67" s="96">
        <v>88151</v>
      </c>
      <c r="C67" s="54">
        <f t="shared" si="7"/>
        <v>88151</v>
      </c>
      <c r="D67" s="90">
        <f t="shared" si="8"/>
        <v>0</v>
      </c>
      <c r="E67" s="104">
        <f t="shared" si="9"/>
        <v>822</v>
      </c>
      <c r="F67" s="32">
        <f t="shared" si="10"/>
        <v>9.3249083958208082E-3</v>
      </c>
      <c r="AU67" s="145"/>
    </row>
    <row r="68" spans="1:47" x14ac:dyDescent="0.2">
      <c r="A68" s="29">
        <f t="shared" si="11"/>
        <v>58</v>
      </c>
      <c r="B68" s="96">
        <v>87329</v>
      </c>
      <c r="C68" s="54">
        <f t="shared" si="7"/>
        <v>87329</v>
      </c>
      <c r="D68" s="90">
        <f t="shared" si="8"/>
        <v>0</v>
      </c>
      <c r="E68" s="104">
        <f t="shared" si="9"/>
        <v>869</v>
      </c>
      <c r="F68" s="32">
        <f t="shared" si="10"/>
        <v>9.9508754251165128E-3</v>
      </c>
      <c r="AU68" s="145"/>
    </row>
    <row r="69" spans="1:47" x14ac:dyDescent="0.2">
      <c r="A69" s="29">
        <f t="shared" si="11"/>
        <v>59</v>
      </c>
      <c r="B69" s="96">
        <v>86460</v>
      </c>
      <c r="C69" s="54">
        <f t="shared" si="7"/>
        <v>86460</v>
      </c>
      <c r="D69" s="90">
        <f t="shared" si="8"/>
        <v>0</v>
      </c>
      <c r="E69" s="104">
        <f t="shared" si="9"/>
        <v>922</v>
      </c>
      <c r="F69" s="32">
        <f t="shared" si="10"/>
        <v>1.0663890816562572E-2</v>
      </c>
      <c r="AU69" s="145"/>
    </row>
    <row r="70" spans="1:47" x14ac:dyDescent="0.2">
      <c r="A70" s="29">
        <f t="shared" si="11"/>
        <v>60</v>
      </c>
      <c r="B70" s="96">
        <v>85538</v>
      </c>
      <c r="C70" s="54">
        <f t="shared" si="7"/>
        <v>85538</v>
      </c>
      <c r="D70" s="90">
        <f t="shared" si="8"/>
        <v>0</v>
      </c>
      <c r="E70" s="104">
        <f t="shared" si="9"/>
        <v>980</v>
      </c>
      <c r="F70" s="32">
        <f t="shared" si="10"/>
        <v>1.1456896350160162E-2</v>
      </c>
      <c r="AU70" s="145"/>
    </row>
    <row r="71" spans="1:47" x14ac:dyDescent="0.2">
      <c r="A71" s="29">
        <f t="shared" si="11"/>
        <v>61</v>
      </c>
      <c r="B71" s="96">
        <v>84558</v>
      </c>
      <c r="C71" s="54">
        <f t="shared" si="7"/>
        <v>84558</v>
      </c>
      <c r="D71" s="90">
        <f t="shared" si="8"/>
        <v>0</v>
      </c>
      <c r="E71" s="104">
        <f t="shared" si="9"/>
        <v>1044</v>
      </c>
      <c r="F71" s="32">
        <f t="shared" si="10"/>
        <v>1.2346555027318526E-2</v>
      </c>
      <c r="AU71" s="145"/>
    </row>
    <row r="72" spans="1:47" x14ac:dyDescent="0.2">
      <c r="A72" s="29">
        <f t="shared" si="11"/>
        <v>62</v>
      </c>
      <c r="B72" s="96">
        <v>83514</v>
      </c>
      <c r="C72" s="54">
        <f t="shared" si="7"/>
        <v>83514</v>
      </c>
      <c r="D72" s="90">
        <f t="shared" si="8"/>
        <v>0</v>
      </c>
      <c r="E72" s="104">
        <f t="shared" si="9"/>
        <v>1115</v>
      </c>
      <c r="F72" s="32">
        <f t="shared" si="10"/>
        <v>1.3351054912948726E-2</v>
      </c>
      <c r="AU72" s="145"/>
    </row>
    <row r="73" spans="1:47" x14ac:dyDescent="0.2">
      <c r="A73" s="29">
        <f t="shared" si="11"/>
        <v>63</v>
      </c>
      <c r="B73" s="96">
        <v>82399</v>
      </c>
      <c r="C73" s="54">
        <f t="shared" si="7"/>
        <v>82399</v>
      </c>
      <c r="D73" s="90">
        <f t="shared" si="8"/>
        <v>0</v>
      </c>
      <c r="E73" s="104">
        <f t="shared" si="9"/>
        <v>1193</v>
      </c>
      <c r="F73" s="32">
        <f t="shared" si="10"/>
        <v>1.4478331047706889E-2</v>
      </c>
      <c r="AU73" s="145"/>
    </row>
    <row r="74" spans="1:47" x14ac:dyDescent="0.2">
      <c r="A74" s="29">
        <f t="shared" si="11"/>
        <v>64</v>
      </c>
      <c r="B74" s="96">
        <v>81206</v>
      </c>
      <c r="C74" s="54">
        <f t="shared" ref="C74:C105" si="12">lx(A74)</f>
        <v>81206</v>
      </c>
      <c r="D74" s="90">
        <f t="shared" ref="D74:D105" si="13">(B74&lt;&gt;C74)*1</f>
        <v>0</v>
      </c>
      <c r="E74" s="104">
        <f t="shared" ref="E74:E105" si="14">dx(A74)</f>
        <v>1280</v>
      </c>
      <c r="F74" s="32">
        <f t="shared" ref="F74:F105" si="15">qx(A74)</f>
        <v>1.5762382089993351E-2</v>
      </c>
      <c r="AU74" s="145"/>
    </row>
    <row r="75" spans="1:47" x14ac:dyDescent="0.2">
      <c r="A75" s="29">
        <f t="shared" ref="A75:A106" si="16">A74+1</f>
        <v>65</v>
      </c>
      <c r="B75" s="96">
        <v>79926</v>
      </c>
      <c r="C75" s="54">
        <f t="shared" si="12"/>
        <v>79926</v>
      </c>
      <c r="D75" s="90">
        <f t="shared" si="13"/>
        <v>0</v>
      </c>
      <c r="E75" s="104">
        <f t="shared" si="14"/>
        <v>1374</v>
      </c>
      <c r="F75" s="32">
        <f t="shared" si="15"/>
        <v>1.7190901583965169E-2</v>
      </c>
      <c r="AU75" s="145"/>
    </row>
    <row r="76" spans="1:47" x14ac:dyDescent="0.2">
      <c r="A76" s="29">
        <f t="shared" si="16"/>
        <v>66</v>
      </c>
      <c r="B76" s="96">
        <v>78552</v>
      </c>
      <c r="C76" s="54">
        <f t="shared" si="12"/>
        <v>78552</v>
      </c>
      <c r="D76" s="90">
        <f t="shared" si="13"/>
        <v>0</v>
      </c>
      <c r="E76" s="104">
        <f t="shared" si="14"/>
        <v>1474</v>
      </c>
      <c r="F76" s="32">
        <f t="shared" si="15"/>
        <v>1.8764639983705061E-2</v>
      </c>
      <c r="AU76" s="145"/>
    </row>
    <row r="77" spans="1:47" x14ac:dyDescent="0.2">
      <c r="A77" s="29">
        <f t="shared" si="16"/>
        <v>67</v>
      </c>
      <c r="B77" s="96">
        <v>77078</v>
      </c>
      <c r="C77" s="54">
        <f t="shared" si="12"/>
        <v>77078</v>
      </c>
      <c r="D77" s="90">
        <f t="shared" si="13"/>
        <v>0</v>
      </c>
      <c r="E77" s="104">
        <f t="shared" si="14"/>
        <v>1577</v>
      </c>
      <c r="F77" s="32">
        <f t="shared" si="15"/>
        <v>2.0459793974934481E-2</v>
      </c>
    </row>
    <row r="78" spans="1:47" x14ac:dyDescent="0.2">
      <c r="A78" s="29">
        <f t="shared" si="16"/>
        <v>68</v>
      </c>
      <c r="B78" s="96">
        <v>75501</v>
      </c>
      <c r="C78" s="54">
        <f t="shared" si="12"/>
        <v>75501</v>
      </c>
      <c r="D78" s="90">
        <f t="shared" si="13"/>
        <v>0</v>
      </c>
      <c r="E78" s="104">
        <f t="shared" si="14"/>
        <v>1685</v>
      </c>
      <c r="F78" s="32">
        <f t="shared" si="15"/>
        <v>2.2317585197547053E-2</v>
      </c>
    </row>
    <row r="79" spans="1:47" x14ac:dyDescent="0.2">
      <c r="A79" s="29">
        <f t="shared" si="16"/>
        <v>69</v>
      </c>
      <c r="B79" s="96">
        <v>73816</v>
      </c>
      <c r="C79" s="54">
        <f t="shared" si="12"/>
        <v>73816</v>
      </c>
      <c r="D79" s="90">
        <f t="shared" si="13"/>
        <v>0</v>
      </c>
      <c r="E79" s="104">
        <f t="shared" si="14"/>
        <v>1797</v>
      </c>
      <c r="F79" s="32">
        <f t="shared" si="15"/>
        <v>2.4344315595534842E-2</v>
      </c>
    </row>
    <row r="80" spans="1:47" x14ac:dyDescent="0.2">
      <c r="A80" s="29">
        <f t="shared" si="16"/>
        <v>70</v>
      </c>
      <c r="B80" s="96">
        <v>72019</v>
      </c>
      <c r="C80" s="54">
        <f t="shared" si="12"/>
        <v>72019</v>
      </c>
      <c r="D80" s="90">
        <f t="shared" si="13"/>
        <v>0</v>
      </c>
      <c r="E80" s="104">
        <f t="shared" si="14"/>
        <v>1914</v>
      </c>
      <c r="F80" s="32">
        <f t="shared" si="15"/>
        <v>2.657632013774143E-2</v>
      </c>
    </row>
    <row r="81" spans="1:6" x14ac:dyDescent="0.2">
      <c r="A81" s="29">
        <f t="shared" si="16"/>
        <v>71</v>
      </c>
      <c r="B81" s="96">
        <v>70105</v>
      </c>
      <c r="C81" s="54">
        <f t="shared" si="12"/>
        <v>70105</v>
      </c>
      <c r="D81" s="90">
        <f t="shared" si="13"/>
        <v>0</v>
      </c>
      <c r="E81" s="104">
        <f t="shared" si="14"/>
        <v>2035</v>
      </c>
      <c r="F81" s="32">
        <f t="shared" si="15"/>
        <v>2.9027886741316598E-2</v>
      </c>
    </row>
    <row r="82" spans="1:6" x14ac:dyDescent="0.2">
      <c r="A82" s="29">
        <f t="shared" si="16"/>
        <v>72</v>
      </c>
      <c r="B82" s="96">
        <v>68070</v>
      </c>
      <c r="C82" s="54">
        <f t="shared" si="12"/>
        <v>68070</v>
      </c>
      <c r="D82" s="90">
        <f t="shared" si="13"/>
        <v>0</v>
      </c>
      <c r="E82" s="104">
        <f t="shared" si="14"/>
        <v>2156</v>
      </c>
      <c r="F82" s="32">
        <f t="shared" si="15"/>
        <v>3.1673277508447187E-2</v>
      </c>
    </row>
    <row r="83" spans="1:6" x14ac:dyDescent="0.2">
      <c r="A83" s="29">
        <f t="shared" si="16"/>
        <v>73</v>
      </c>
      <c r="B83" s="96">
        <v>65914</v>
      </c>
      <c r="C83" s="54">
        <f t="shared" si="12"/>
        <v>65914</v>
      </c>
      <c r="D83" s="90">
        <f t="shared" si="13"/>
        <v>0</v>
      </c>
      <c r="E83" s="104">
        <f t="shared" si="14"/>
        <v>2277</v>
      </c>
      <c r="F83" s="32">
        <f t="shared" si="15"/>
        <v>3.45450131990169E-2</v>
      </c>
    </row>
    <row r="84" spans="1:6" x14ac:dyDescent="0.2">
      <c r="A84" s="29">
        <f t="shared" si="16"/>
        <v>74</v>
      </c>
      <c r="B84" s="96">
        <v>63637</v>
      </c>
      <c r="C84" s="54">
        <f t="shared" si="12"/>
        <v>63637</v>
      </c>
      <c r="D84" s="90">
        <f t="shared" si="13"/>
        <v>0</v>
      </c>
      <c r="E84" s="104">
        <f t="shared" si="14"/>
        <v>2398</v>
      </c>
      <c r="F84" s="32">
        <f t="shared" si="15"/>
        <v>3.7682480318053962E-2</v>
      </c>
    </row>
    <row r="85" spans="1:6" x14ac:dyDescent="0.2">
      <c r="A85" s="29">
        <f t="shared" si="16"/>
        <v>75</v>
      </c>
      <c r="B85" s="96">
        <v>61239</v>
      </c>
      <c r="C85" s="54">
        <f t="shared" si="12"/>
        <v>61239</v>
      </c>
      <c r="D85" s="90">
        <f t="shared" si="13"/>
        <v>0</v>
      </c>
      <c r="E85" s="104">
        <f t="shared" si="14"/>
        <v>2521</v>
      </c>
      <c r="F85" s="32">
        <f t="shared" si="15"/>
        <v>4.1166576854618789E-2</v>
      </c>
    </row>
    <row r="86" spans="1:6" x14ac:dyDescent="0.2">
      <c r="A86" s="29">
        <f t="shared" si="16"/>
        <v>76</v>
      </c>
      <c r="B86" s="96">
        <v>58718</v>
      </c>
      <c r="C86" s="54">
        <f t="shared" si="12"/>
        <v>58718</v>
      </c>
      <c r="D86" s="90">
        <f t="shared" si="13"/>
        <v>0</v>
      </c>
      <c r="E86" s="104">
        <f t="shared" si="14"/>
        <v>2646</v>
      </c>
      <c r="F86" s="32">
        <f t="shared" si="15"/>
        <v>4.5062842739875333E-2</v>
      </c>
    </row>
    <row r="87" spans="1:6" x14ac:dyDescent="0.2">
      <c r="A87" s="29">
        <f t="shared" si="16"/>
        <v>77</v>
      </c>
      <c r="B87" s="96">
        <v>56072</v>
      </c>
      <c r="C87" s="54">
        <f t="shared" si="12"/>
        <v>56072</v>
      </c>
      <c r="D87" s="90">
        <f t="shared" si="13"/>
        <v>0</v>
      </c>
      <c r="E87" s="104">
        <f t="shared" si="14"/>
        <v>2769</v>
      </c>
      <c r="F87" s="32">
        <f t="shared" si="15"/>
        <v>4.9382936224853763E-2</v>
      </c>
    </row>
    <row r="88" spans="1:6" x14ac:dyDescent="0.2">
      <c r="A88" s="29">
        <f t="shared" si="16"/>
        <v>78</v>
      </c>
      <c r="B88" s="96">
        <v>53303</v>
      </c>
      <c r="C88" s="54">
        <f t="shared" si="12"/>
        <v>53303</v>
      </c>
      <c r="D88" s="90">
        <f t="shared" si="13"/>
        <v>0</v>
      </c>
      <c r="E88" s="104">
        <f t="shared" si="14"/>
        <v>2892</v>
      </c>
      <c r="F88" s="32">
        <f t="shared" si="15"/>
        <v>5.4255858019248447E-2</v>
      </c>
    </row>
    <row r="89" spans="1:6" x14ac:dyDescent="0.2">
      <c r="A89" s="29">
        <f t="shared" si="16"/>
        <v>79</v>
      </c>
      <c r="B89" s="96">
        <v>50411</v>
      </c>
      <c r="C89" s="54">
        <f t="shared" si="12"/>
        <v>50411</v>
      </c>
      <c r="D89" s="90">
        <f t="shared" si="13"/>
        <v>0</v>
      </c>
      <c r="E89" s="104">
        <f t="shared" si="14"/>
        <v>3021</v>
      </c>
      <c r="F89" s="32">
        <f t="shared" si="15"/>
        <v>5.9927396798317829E-2</v>
      </c>
    </row>
    <row r="90" spans="1:6" x14ac:dyDescent="0.2">
      <c r="A90" s="29">
        <f t="shared" si="16"/>
        <v>80</v>
      </c>
      <c r="B90" s="96">
        <v>47390</v>
      </c>
      <c r="C90" s="54">
        <f t="shared" si="12"/>
        <v>47390</v>
      </c>
      <c r="D90" s="90">
        <f t="shared" si="13"/>
        <v>0</v>
      </c>
      <c r="E90" s="104">
        <f t="shared" si="14"/>
        <v>3156</v>
      </c>
      <c r="F90" s="32">
        <f t="shared" si="15"/>
        <v>6.6596328339312089E-2</v>
      </c>
    </row>
    <row r="91" spans="1:6" x14ac:dyDescent="0.2">
      <c r="A91" s="29">
        <f t="shared" si="16"/>
        <v>81</v>
      </c>
      <c r="B91" s="96">
        <v>44234</v>
      </c>
      <c r="C91" s="54">
        <f t="shared" si="12"/>
        <v>44234</v>
      </c>
      <c r="D91" s="90">
        <f t="shared" si="13"/>
        <v>0</v>
      </c>
      <c r="E91" s="104">
        <f t="shared" si="14"/>
        <v>3288</v>
      </c>
      <c r="F91" s="32">
        <f t="shared" si="15"/>
        <v>7.4331961839309124E-2</v>
      </c>
    </row>
    <row r="92" spans="1:6" x14ac:dyDescent="0.2">
      <c r="A92" s="29">
        <f t="shared" si="16"/>
        <v>82</v>
      </c>
      <c r="B92" s="96">
        <v>40946</v>
      </c>
      <c r="C92" s="54">
        <f t="shared" si="12"/>
        <v>40946</v>
      </c>
      <c r="D92" s="90">
        <f t="shared" si="13"/>
        <v>0</v>
      </c>
      <c r="E92" s="104">
        <f t="shared" si="14"/>
        <v>3400</v>
      </c>
      <c r="F92" s="32">
        <f t="shared" si="15"/>
        <v>8.303619401162507E-2</v>
      </c>
    </row>
    <row r="93" spans="1:6" x14ac:dyDescent="0.2">
      <c r="A93" s="29">
        <f t="shared" si="16"/>
        <v>83</v>
      </c>
      <c r="B93" s="96">
        <v>37546</v>
      </c>
      <c r="C93" s="54">
        <f t="shared" si="12"/>
        <v>37546</v>
      </c>
      <c r="D93" s="90">
        <f t="shared" si="13"/>
        <v>0</v>
      </c>
      <c r="E93" s="104">
        <f t="shared" si="14"/>
        <v>3474</v>
      </c>
      <c r="F93" s="32">
        <f t="shared" si="15"/>
        <v>9.2526500825653862E-2</v>
      </c>
    </row>
    <row r="94" spans="1:6" x14ac:dyDescent="0.2">
      <c r="A94" s="29">
        <f t="shared" si="16"/>
        <v>84</v>
      </c>
      <c r="B94" s="96">
        <v>34072</v>
      </c>
      <c r="C94" s="54">
        <f t="shared" si="12"/>
        <v>34072</v>
      </c>
      <c r="D94" s="90">
        <f t="shared" si="13"/>
        <v>0</v>
      </c>
      <c r="E94" s="104">
        <f t="shared" si="14"/>
        <v>3497</v>
      </c>
      <c r="F94" s="32">
        <f t="shared" si="15"/>
        <v>0.10263559521014323</v>
      </c>
    </row>
    <row r="95" spans="1:6" x14ac:dyDescent="0.2">
      <c r="A95" s="29">
        <f t="shared" si="16"/>
        <v>85</v>
      </c>
      <c r="B95" s="96">
        <v>30575</v>
      </c>
      <c r="C95" s="54">
        <f t="shared" si="12"/>
        <v>30575</v>
      </c>
      <c r="D95" s="90">
        <f t="shared" si="13"/>
        <v>0</v>
      </c>
      <c r="E95" s="104">
        <f t="shared" si="14"/>
        <v>3471</v>
      </c>
      <c r="F95" s="32">
        <f t="shared" si="15"/>
        <v>0.11352412101390025</v>
      </c>
    </row>
    <row r="96" spans="1:6" x14ac:dyDescent="0.2">
      <c r="A96" s="29">
        <f t="shared" si="16"/>
        <v>86</v>
      </c>
      <c r="B96" s="96">
        <v>27104</v>
      </c>
      <c r="C96" s="54">
        <f t="shared" si="12"/>
        <v>27104</v>
      </c>
      <c r="D96" s="90">
        <f t="shared" si="13"/>
        <v>0</v>
      </c>
      <c r="E96" s="104">
        <f t="shared" si="14"/>
        <v>3397</v>
      </c>
      <c r="F96" s="32">
        <f t="shared" si="15"/>
        <v>0.12533205430932703</v>
      </c>
    </row>
    <row r="97" spans="1:6" x14ac:dyDescent="0.2">
      <c r="A97" s="29">
        <f t="shared" si="16"/>
        <v>87</v>
      </c>
      <c r="B97" s="96">
        <v>23707</v>
      </c>
      <c r="C97" s="54">
        <f t="shared" si="12"/>
        <v>23707</v>
      </c>
      <c r="D97" s="90">
        <f t="shared" si="13"/>
        <v>0</v>
      </c>
      <c r="E97" s="104">
        <f t="shared" si="14"/>
        <v>3272</v>
      </c>
      <c r="F97" s="32">
        <f t="shared" si="15"/>
        <v>0.13801830682920657</v>
      </c>
    </row>
    <row r="98" spans="1:6" x14ac:dyDescent="0.2">
      <c r="A98" s="29">
        <f t="shared" si="16"/>
        <v>88</v>
      </c>
      <c r="B98" s="96">
        <v>20435</v>
      </c>
      <c r="C98" s="54">
        <f t="shared" si="12"/>
        <v>20435</v>
      </c>
      <c r="D98" s="90">
        <f t="shared" si="13"/>
        <v>0</v>
      </c>
      <c r="E98" s="104">
        <f t="shared" si="14"/>
        <v>3097</v>
      </c>
      <c r="F98" s="32">
        <f t="shared" si="15"/>
        <v>0.15155370687545877</v>
      </c>
    </row>
    <row r="99" spans="1:6" x14ac:dyDescent="0.2">
      <c r="A99" s="29">
        <f t="shared" si="16"/>
        <v>89</v>
      </c>
      <c r="B99" s="96">
        <v>17338</v>
      </c>
      <c r="C99" s="54">
        <f t="shared" si="12"/>
        <v>17338</v>
      </c>
      <c r="D99" s="90">
        <f t="shared" si="13"/>
        <v>0</v>
      </c>
      <c r="E99" s="104">
        <f t="shared" si="14"/>
        <v>2874</v>
      </c>
      <c r="F99" s="32">
        <f t="shared" si="15"/>
        <v>0.16576306379051794</v>
      </c>
    </row>
    <row r="100" spans="1:6" x14ac:dyDescent="0.2">
      <c r="A100" s="29">
        <f t="shared" si="16"/>
        <v>90</v>
      </c>
      <c r="B100" s="96">
        <v>14464</v>
      </c>
      <c r="C100" s="54">
        <f t="shared" si="12"/>
        <v>14464</v>
      </c>
      <c r="D100" s="90">
        <f t="shared" si="13"/>
        <v>0</v>
      </c>
      <c r="E100" s="104">
        <f t="shared" si="14"/>
        <v>2612</v>
      </c>
      <c r="F100" s="32">
        <f t="shared" si="15"/>
        <v>0.18058628318584072</v>
      </c>
    </row>
    <row r="101" spans="1:6" x14ac:dyDescent="0.2">
      <c r="A101" s="29">
        <f t="shared" si="16"/>
        <v>91</v>
      </c>
      <c r="B101" s="96">
        <v>11852</v>
      </c>
      <c r="C101" s="54">
        <f t="shared" si="12"/>
        <v>11852</v>
      </c>
      <c r="D101" s="90">
        <f t="shared" si="13"/>
        <v>0</v>
      </c>
      <c r="E101" s="104">
        <f t="shared" si="14"/>
        <v>2326</v>
      </c>
      <c r="F101" s="32">
        <f t="shared" si="15"/>
        <v>0.19625379682753966</v>
      </c>
    </row>
    <row r="102" spans="1:6" x14ac:dyDescent="0.2">
      <c r="A102" s="29">
        <f t="shared" si="16"/>
        <v>92</v>
      </c>
      <c r="B102" s="96">
        <v>9526</v>
      </c>
      <c r="C102" s="54">
        <f t="shared" si="12"/>
        <v>9526</v>
      </c>
      <c r="D102" s="90">
        <f t="shared" si="13"/>
        <v>0</v>
      </c>
      <c r="E102" s="104">
        <f t="shared" si="14"/>
        <v>2028</v>
      </c>
      <c r="F102" s="32">
        <f t="shared" si="15"/>
        <v>0.21289103506193577</v>
      </c>
    </row>
    <row r="103" spans="1:6" x14ac:dyDescent="0.2">
      <c r="A103" s="29">
        <f t="shared" si="16"/>
        <v>93</v>
      </c>
      <c r="B103" s="96">
        <v>7498</v>
      </c>
      <c r="C103" s="54">
        <f t="shared" si="12"/>
        <v>7498</v>
      </c>
      <c r="D103" s="90">
        <f t="shared" si="13"/>
        <v>0</v>
      </c>
      <c r="E103" s="104">
        <f t="shared" si="14"/>
        <v>1729</v>
      </c>
      <c r="F103" s="32">
        <f t="shared" si="15"/>
        <v>0.23059482528674313</v>
      </c>
    </row>
    <row r="104" spans="1:6" x14ac:dyDescent="0.2">
      <c r="A104" s="29">
        <f t="shared" si="16"/>
        <v>94</v>
      </c>
      <c r="B104" s="96">
        <v>5769</v>
      </c>
      <c r="C104" s="54">
        <f t="shared" si="12"/>
        <v>5769</v>
      </c>
      <c r="D104" s="90">
        <f t="shared" si="13"/>
        <v>0</v>
      </c>
      <c r="E104" s="104">
        <f t="shared" si="14"/>
        <v>1438</v>
      </c>
      <c r="F104" s="32">
        <f t="shared" si="15"/>
        <v>0.24926330386548795</v>
      </c>
    </row>
    <row r="105" spans="1:6" x14ac:dyDescent="0.2">
      <c r="A105" s="29">
        <f t="shared" si="16"/>
        <v>95</v>
      </c>
      <c r="B105" s="96">
        <v>4331</v>
      </c>
      <c r="C105" s="54">
        <f t="shared" si="12"/>
        <v>4331</v>
      </c>
      <c r="D105" s="90">
        <f t="shared" si="13"/>
        <v>0</v>
      </c>
      <c r="E105" s="104">
        <f t="shared" si="14"/>
        <v>1165</v>
      </c>
      <c r="F105" s="32">
        <f t="shared" si="15"/>
        <v>0.26899099515123526</v>
      </c>
    </row>
    <row r="106" spans="1:6" x14ac:dyDescent="0.2">
      <c r="A106" s="29">
        <f t="shared" si="16"/>
        <v>96</v>
      </c>
      <c r="B106" s="96">
        <v>3166</v>
      </c>
      <c r="C106" s="54">
        <f t="shared" ref="C106:C120" si="17">lx(A106)</f>
        <v>3166</v>
      </c>
      <c r="D106" s="90">
        <f t="shared" ref="D106:D137" si="18">(B106&lt;&gt;C106)*1</f>
        <v>0</v>
      </c>
      <c r="E106" s="104">
        <f t="shared" ref="E106:E119" si="19">dx(A106)</f>
        <v>917</v>
      </c>
      <c r="F106" s="32">
        <f t="shared" ref="F106:F119" si="20">qx(A106)</f>
        <v>0.2896399241945673</v>
      </c>
    </row>
    <row r="107" spans="1:6" x14ac:dyDescent="0.2">
      <c r="A107" s="29">
        <f t="shared" ref="A107:A120" si="21">A106+1</f>
        <v>97</v>
      </c>
      <c r="B107" s="96">
        <v>2249</v>
      </c>
      <c r="C107" s="54">
        <f t="shared" si="17"/>
        <v>2249</v>
      </c>
      <c r="D107" s="90">
        <f t="shared" si="18"/>
        <v>0</v>
      </c>
      <c r="E107" s="104">
        <f t="shared" si="19"/>
        <v>700</v>
      </c>
      <c r="F107" s="32">
        <f t="shared" si="20"/>
        <v>0.31124944419742107</v>
      </c>
    </row>
    <row r="108" spans="1:6" x14ac:dyDescent="0.2">
      <c r="A108" s="29">
        <f t="shared" si="21"/>
        <v>98</v>
      </c>
      <c r="B108" s="96">
        <v>1549</v>
      </c>
      <c r="C108" s="54">
        <f t="shared" si="17"/>
        <v>1549</v>
      </c>
      <c r="D108" s="90">
        <f t="shared" si="18"/>
        <v>0</v>
      </c>
      <c r="E108" s="104">
        <f t="shared" si="19"/>
        <v>517</v>
      </c>
      <c r="F108" s="32">
        <f t="shared" si="20"/>
        <v>0.33376371852808262</v>
      </c>
    </row>
    <row r="109" spans="1:6" x14ac:dyDescent="0.2">
      <c r="A109" s="29">
        <f t="shared" si="21"/>
        <v>99</v>
      </c>
      <c r="B109" s="96">
        <v>1032</v>
      </c>
      <c r="C109" s="54">
        <f t="shared" si="17"/>
        <v>1032</v>
      </c>
      <c r="D109" s="90">
        <f t="shared" si="18"/>
        <v>0</v>
      </c>
      <c r="E109" s="104">
        <f t="shared" si="19"/>
        <v>369</v>
      </c>
      <c r="F109" s="32">
        <f t="shared" si="20"/>
        <v>0.35755813953488375</v>
      </c>
    </row>
    <row r="110" spans="1:6" x14ac:dyDescent="0.2">
      <c r="A110" s="29">
        <f t="shared" si="21"/>
        <v>100</v>
      </c>
      <c r="B110" s="96">
        <v>663</v>
      </c>
      <c r="C110" s="54">
        <f t="shared" si="17"/>
        <v>663</v>
      </c>
      <c r="D110" s="90">
        <f t="shared" si="18"/>
        <v>0</v>
      </c>
      <c r="E110" s="104">
        <f t="shared" si="19"/>
        <v>253</v>
      </c>
      <c r="F110" s="32">
        <f t="shared" si="20"/>
        <v>0.38159879336349922</v>
      </c>
    </row>
    <row r="111" spans="1:6" x14ac:dyDescent="0.2">
      <c r="A111" s="29">
        <f t="shared" si="21"/>
        <v>101</v>
      </c>
      <c r="B111" s="96">
        <v>410</v>
      </c>
      <c r="C111" s="54">
        <f t="shared" si="17"/>
        <v>410</v>
      </c>
      <c r="D111" s="90">
        <f t="shared" si="18"/>
        <v>0</v>
      </c>
      <c r="E111" s="104">
        <f t="shared" si="19"/>
        <v>166</v>
      </c>
      <c r="F111" s="32">
        <f t="shared" si="20"/>
        <v>0.40487804878048783</v>
      </c>
    </row>
    <row r="112" spans="1:6" x14ac:dyDescent="0.2">
      <c r="A112" s="29">
        <f t="shared" si="21"/>
        <v>102</v>
      </c>
      <c r="B112" s="96">
        <v>244</v>
      </c>
      <c r="C112" s="54">
        <f t="shared" si="17"/>
        <v>244</v>
      </c>
      <c r="D112" s="90">
        <f t="shared" si="18"/>
        <v>0</v>
      </c>
      <c r="E112" s="104">
        <f t="shared" si="19"/>
        <v>105</v>
      </c>
      <c r="F112" s="32">
        <f t="shared" si="20"/>
        <v>0.43032786885245899</v>
      </c>
    </row>
    <row r="113" spans="1:6" x14ac:dyDescent="0.2">
      <c r="A113" s="29">
        <f t="shared" si="21"/>
        <v>103</v>
      </c>
      <c r="B113" s="96">
        <v>139</v>
      </c>
      <c r="C113" s="54">
        <f t="shared" si="17"/>
        <v>139</v>
      </c>
      <c r="D113" s="90">
        <f t="shared" si="18"/>
        <v>0</v>
      </c>
      <c r="E113" s="104">
        <f t="shared" si="19"/>
        <v>64</v>
      </c>
      <c r="F113" s="32">
        <f t="shared" si="20"/>
        <v>0.46043165467625902</v>
      </c>
    </row>
    <row r="114" spans="1:6" x14ac:dyDescent="0.2">
      <c r="A114" s="29">
        <f t="shared" si="21"/>
        <v>104</v>
      </c>
      <c r="B114" s="96">
        <v>75</v>
      </c>
      <c r="C114" s="54">
        <f t="shared" si="17"/>
        <v>75</v>
      </c>
      <c r="D114" s="90">
        <f t="shared" si="18"/>
        <v>0</v>
      </c>
      <c r="E114" s="104">
        <f t="shared" si="19"/>
        <v>36</v>
      </c>
      <c r="F114" s="32">
        <f t="shared" si="20"/>
        <v>0.48</v>
      </c>
    </row>
    <row r="115" spans="1:6" x14ac:dyDescent="0.2">
      <c r="A115" s="29">
        <f t="shared" si="21"/>
        <v>105</v>
      </c>
      <c r="B115" s="96">
        <v>39</v>
      </c>
      <c r="C115" s="54">
        <f t="shared" si="17"/>
        <v>39</v>
      </c>
      <c r="D115" s="90">
        <f t="shared" si="18"/>
        <v>0</v>
      </c>
      <c r="E115" s="104">
        <f t="shared" si="19"/>
        <v>20</v>
      </c>
      <c r="F115" s="32">
        <f t="shared" si="20"/>
        <v>0.51282051282051277</v>
      </c>
    </row>
    <row r="116" spans="1:6" x14ac:dyDescent="0.2">
      <c r="A116" s="29">
        <f t="shared" si="21"/>
        <v>106</v>
      </c>
      <c r="B116" s="96">
        <v>19</v>
      </c>
      <c r="C116" s="54">
        <f t="shared" si="17"/>
        <v>19</v>
      </c>
      <c r="D116" s="90">
        <f t="shared" si="18"/>
        <v>0</v>
      </c>
      <c r="E116" s="104">
        <f t="shared" si="19"/>
        <v>10</v>
      </c>
      <c r="F116" s="32">
        <f t="shared" si="20"/>
        <v>0.52631578947368418</v>
      </c>
    </row>
    <row r="117" spans="1:6" x14ac:dyDescent="0.2">
      <c r="A117" s="29">
        <f t="shared" si="21"/>
        <v>107</v>
      </c>
      <c r="B117" s="96">
        <v>9</v>
      </c>
      <c r="C117" s="54">
        <f t="shared" si="17"/>
        <v>9</v>
      </c>
      <c r="D117" s="90">
        <f t="shared" si="18"/>
        <v>0</v>
      </c>
      <c r="E117" s="104">
        <f t="shared" si="19"/>
        <v>5</v>
      </c>
      <c r="F117" s="32">
        <f t="shared" si="20"/>
        <v>0.55555555555555558</v>
      </c>
    </row>
    <row r="118" spans="1:6" x14ac:dyDescent="0.2">
      <c r="A118" s="29">
        <f t="shared" si="21"/>
        <v>108</v>
      </c>
      <c r="B118" s="96">
        <v>4</v>
      </c>
      <c r="C118" s="54">
        <f t="shared" si="17"/>
        <v>4</v>
      </c>
      <c r="D118" s="90">
        <f t="shared" si="18"/>
        <v>0</v>
      </c>
      <c r="E118" s="104">
        <f t="shared" si="19"/>
        <v>2</v>
      </c>
      <c r="F118" s="32">
        <f t="shared" si="20"/>
        <v>0.5</v>
      </c>
    </row>
    <row r="119" spans="1:6" x14ac:dyDescent="0.2">
      <c r="A119" s="29">
        <f t="shared" si="21"/>
        <v>109</v>
      </c>
      <c r="B119" s="96">
        <v>2</v>
      </c>
      <c r="C119" s="54">
        <f t="shared" si="17"/>
        <v>2</v>
      </c>
      <c r="D119" s="90">
        <f t="shared" si="18"/>
        <v>0</v>
      </c>
      <c r="E119" s="104">
        <f t="shared" si="19"/>
        <v>1</v>
      </c>
      <c r="F119" s="32">
        <f t="shared" si="20"/>
        <v>0.5</v>
      </c>
    </row>
    <row r="120" spans="1:6" ht="13.5" thickBot="1" x14ac:dyDescent="0.25">
      <c r="A120" s="95">
        <f t="shared" si="21"/>
        <v>110</v>
      </c>
      <c r="B120" s="97">
        <v>1</v>
      </c>
      <c r="C120" s="55">
        <f t="shared" si="17"/>
        <v>1</v>
      </c>
      <c r="D120" s="91">
        <f t="shared" si="18"/>
        <v>0</v>
      </c>
      <c r="E120" s="102">
        <f>C120</f>
        <v>1</v>
      </c>
      <c r="F120" s="101">
        <v>1</v>
      </c>
    </row>
  </sheetData>
  <mergeCells count="3">
    <mergeCell ref="I7:I8"/>
    <mergeCell ref="J7:K7"/>
    <mergeCell ref="J8:K8"/>
  </mergeCells>
  <phoneticPr fontId="2" type="noConversion"/>
  <conditionalFormatting sqref="D10:D120">
    <cfRule type="cellIs" dxfId="24" priority="62" operator="notEqual">
      <formula>0</formula>
    </cfRule>
  </conditionalFormatting>
  <conditionalFormatting sqref="D8">
    <cfRule type="cellIs" dxfId="23" priority="60" operator="notEqual">
      <formula>0</formula>
    </cfRule>
  </conditionalFormatting>
  <conditionalFormatting sqref="AA28">
    <cfRule type="cellIs" dxfId="22" priority="59" operator="notEqual">
      <formula>"OK"</formula>
    </cfRule>
  </conditionalFormatting>
  <conditionalFormatting sqref="AD28">
    <cfRule type="cellIs" dxfId="21" priority="58" operator="notEqual">
      <formula>"OK"</formula>
    </cfRule>
  </conditionalFormatting>
  <conditionalFormatting sqref="AG28">
    <cfRule type="cellIs" dxfId="20" priority="57" operator="notEqual">
      <formula>"OK"</formula>
    </cfRule>
  </conditionalFormatting>
  <conditionalFormatting sqref="AJ28">
    <cfRule type="cellIs" dxfId="19" priority="56" operator="notEqual">
      <formula>"OK"</formula>
    </cfRule>
  </conditionalFormatting>
  <conditionalFormatting sqref="AM28">
    <cfRule type="cellIs" dxfId="18" priority="55" operator="notEqual">
      <formula>"OK"</formula>
    </cfRule>
  </conditionalFormatting>
  <conditionalFormatting sqref="V28">
    <cfRule type="cellIs" dxfId="17" priority="54" operator="notEqual">
      <formula>"OK"</formula>
    </cfRule>
  </conditionalFormatting>
  <conditionalFormatting sqref="S28">
    <cfRule type="cellIs" dxfId="16" priority="53" operator="notEqual">
      <formula>"OK"</formula>
    </cfRule>
  </conditionalFormatting>
  <conditionalFormatting sqref="P28">
    <cfRule type="cellIs" dxfId="15" priority="52" operator="notEqual">
      <formula>"OK"</formula>
    </cfRule>
  </conditionalFormatting>
  <conditionalFormatting sqref="M28">
    <cfRule type="cellIs" dxfId="14" priority="51" operator="notEqual">
      <formula>"OK"</formula>
    </cfRule>
  </conditionalFormatting>
  <conditionalFormatting sqref="J28">
    <cfRule type="cellIs" dxfId="13" priority="50" operator="notEqual">
      <formula>"OK"</formula>
    </cfRule>
  </conditionalFormatting>
  <conditionalFormatting sqref="M9">
    <cfRule type="cellIs" dxfId="12" priority="49" operator="notEqual">
      <formula>"OK"</formula>
    </cfRule>
  </conditionalFormatting>
  <conditionalFormatting sqref="L9">
    <cfRule type="cellIs" dxfId="11" priority="45" operator="notEqual">
      <formula>"OK"</formula>
    </cfRule>
  </conditionalFormatting>
  <conditionalFormatting sqref="N9:Q9">
    <cfRule type="cellIs" dxfId="10" priority="46" operator="notEqual">
      <formula>"OK"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8193" r:id="rId4">
          <objectPr defaultSize="0" autoPict="0" r:id="rId5">
            <anchor moveWithCells="1" sizeWithCells="1">
              <from>
                <xdr:col>13</xdr:col>
                <xdr:colOff>771525</xdr:colOff>
                <xdr:row>1</xdr:row>
                <xdr:rowOff>57150</xdr:rowOff>
              </from>
              <to>
                <xdr:col>16</xdr:col>
                <xdr:colOff>209550</xdr:colOff>
                <xdr:row>3</xdr:row>
                <xdr:rowOff>76200</xdr:rowOff>
              </to>
            </anchor>
          </objectPr>
        </oleObject>
      </mc:Choice>
      <mc:Fallback>
        <oleObject progId="Equation.3" shapeId="8193" r:id="rId4"/>
      </mc:Fallback>
    </mc:AlternateContent>
    <mc:AlternateContent xmlns:mc="http://schemas.openxmlformats.org/markup-compatibility/2006">
      <mc:Choice Requires="x14">
        <oleObject progId="Equation.3" shapeId="8194" r:id="rId6">
          <objectPr defaultSize="0" autoPict="0" r:id="rId7">
            <anchor moveWithCells="1" sizeWithCells="1">
              <from>
                <xdr:col>11</xdr:col>
                <xdr:colOff>180975</xdr:colOff>
                <xdr:row>0</xdr:row>
                <xdr:rowOff>142875</xdr:rowOff>
              </from>
              <to>
                <xdr:col>13</xdr:col>
                <xdr:colOff>590550</xdr:colOff>
                <xdr:row>4</xdr:row>
                <xdr:rowOff>76200</xdr:rowOff>
              </to>
            </anchor>
          </objectPr>
        </oleObject>
      </mc:Choice>
      <mc:Fallback>
        <oleObject progId="Equation.3" shapeId="8194" r:id="rId6"/>
      </mc:Fallback>
    </mc:AlternateContent>
    <mc:AlternateContent xmlns:mc="http://schemas.openxmlformats.org/markup-compatibility/2006">
      <mc:Choice Requires="x14">
        <oleObject progId="Equation.3" shapeId="8195" r:id="rId8">
          <objectPr defaultSize="0" autoPict="0" r:id="rId9">
            <anchor moveWithCells="1" sizeWithCells="1">
              <from>
                <xdr:col>16</xdr:col>
                <xdr:colOff>561975</xdr:colOff>
                <xdr:row>0</xdr:row>
                <xdr:rowOff>85725</xdr:rowOff>
              </from>
              <to>
                <xdr:col>20</xdr:col>
                <xdr:colOff>771525</xdr:colOff>
                <xdr:row>4</xdr:row>
                <xdr:rowOff>66675</xdr:rowOff>
              </to>
            </anchor>
          </objectPr>
        </oleObject>
      </mc:Choice>
      <mc:Fallback>
        <oleObject progId="Equation.3" shapeId="8195" r:id="rId8"/>
      </mc:Fallback>
    </mc:AlternateContent>
    <mc:AlternateContent xmlns:mc="http://schemas.openxmlformats.org/markup-compatibility/2006">
      <mc:Choice Requires="x14">
        <oleObject progId="Equation.3" shapeId="8199" r:id="rId10">
          <objectPr defaultSize="0" autoPict="0" r:id="rId11">
            <anchor moveWithCells="1" sizeWithCells="1">
              <from>
                <xdr:col>28</xdr:col>
                <xdr:colOff>114300</xdr:colOff>
                <xdr:row>1</xdr:row>
                <xdr:rowOff>133350</xdr:rowOff>
              </from>
              <to>
                <xdr:col>30</xdr:col>
                <xdr:colOff>238125</xdr:colOff>
                <xdr:row>4</xdr:row>
                <xdr:rowOff>38100</xdr:rowOff>
              </to>
            </anchor>
          </objectPr>
        </oleObject>
      </mc:Choice>
      <mc:Fallback>
        <oleObject progId="Equation.3" shapeId="8199" r:id="rId10"/>
      </mc:Fallback>
    </mc:AlternateContent>
    <mc:AlternateContent xmlns:mc="http://schemas.openxmlformats.org/markup-compatibility/2006">
      <mc:Choice Requires="x14">
        <oleObject progId="Equation.3" shapeId="8200" r:id="rId12">
          <objectPr defaultSize="0" autoPict="0" r:id="rId13">
            <anchor moveWithCells="1" sizeWithCells="1">
              <from>
                <xdr:col>31</xdr:col>
                <xdr:colOff>238125</xdr:colOff>
                <xdr:row>0</xdr:row>
                <xdr:rowOff>133350</xdr:rowOff>
              </from>
              <to>
                <xdr:col>34</xdr:col>
                <xdr:colOff>171450</xdr:colOff>
                <xdr:row>5</xdr:row>
                <xdr:rowOff>66675</xdr:rowOff>
              </to>
            </anchor>
          </objectPr>
        </oleObject>
      </mc:Choice>
      <mc:Fallback>
        <oleObject progId="Equation.3" shapeId="8200" r:id="rId12"/>
      </mc:Fallback>
    </mc:AlternateContent>
    <mc:AlternateContent xmlns:mc="http://schemas.openxmlformats.org/markup-compatibility/2006">
      <mc:Choice Requires="x14">
        <oleObject progId="Equation.3" shapeId="8201" r:id="rId14">
          <objectPr defaultSize="0" autoPict="0" r:id="rId15">
            <anchor moveWithCells="1" sizeWithCells="1">
              <from>
                <xdr:col>24</xdr:col>
                <xdr:colOff>142875</xdr:colOff>
                <xdr:row>1</xdr:row>
                <xdr:rowOff>28575</xdr:rowOff>
              </from>
              <to>
                <xdr:col>27</xdr:col>
                <xdr:colOff>152400</xdr:colOff>
                <xdr:row>5</xdr:row>
                <xdr:rowOff>38100</xdr:rowOff>
              </to>
            </anchor>
          </objectPr>
        </oleObject>
      </mc:Choice>
      <mc:Fallback>
        <oleObject progId="Equation.3" shapeId="8201" r:id="rId1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16" name="Button 11">
              <controlPr defaultSize="0" print="0" autoFill="0" autoPict="0" macro="[0]!loadMortalityTabl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3</xdr:col>
                    <xdr:colOff>476250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7" name="Button 12">
              <controlPr defaultSize="0" print="0" autoFill="0" autoPict="0" macro="[0]!Calculate">
                <anchor moveWithCells="1" sizeWithCells="1">
                  <from>
                    <xdr:col>0</xdr:col>
                    <xdr:colOff>28575</xdr:colOff>
                    <xdr:row>3</xdr:row>
                    <xdr:rowOff>19050</xdr:rowOff>
                  </from>
                  <to>
                    <xdr:col>3</xdr:col>
                    <xdr:colOff>466725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Z47"/>
  <sheetViews>
    <sheetView showGridLines="0" tabSelected="1" zoomScale="85" zoomScaleNormal="85" workbookViewId="0"/>
  </sheetViews>
  <sheetFormatPr baseColWidth="10" defaultColWidth="9.140625" defaultRowHeight="12.75" x14ac:dyDescent="0.2"/>
  <cols>
    <col min="1" max="1" width="12.85546875" bestFit="1" customWidth="1"/>
    <col min="2" max="2" width="20.42578125" customWidth="1"/>
    <col min="3" max="4" width="16.7109375" bestFit="1" customWidth="1"/>
    <col min="5" max="6" width="20" bestFit="1" customWidth="1"/>
    <col min="7" max="7" width="1.42578125" customWidth="1"/>
    <col min="8" max="8" width="1.5703125" customWidth="1"/>
    <col min="9" max="9" width="1.7109375" customWidth="1"/>
    <col min="20" max="20" width="12.85546875" bestFit="1" customWidth="1"/>
  </cols>
  <sheetData>
    <row r="1" spans="1:26" x14ac:dyDescent="0.2">
      <c r="A1" s="148" t="s">
        <v>71</v>
      </c>
      <c r="B1" s="170"/>
    </row>
    <row r="3" spans="1:26" x14ac:dyDescent="0.2">
      <c r="A3" s="146"/>
      <c r="B3" s="146"/>
      <c r="C3" s="146"/>
      <c r="D3" s="146"/>
      <c r="E3" s="146"/>
      <c r="F3" s="146"/>
      <c r="G3" s="146"/>
      <c r="H3" s="146"/>
      <c r="I3" s="146"/>
    </row>
    <row r="4" spans="1:26" x14ac:dyDescent="0.2">
      <c r="A4" s="22" t="s">
        <v>79</v>
      </c>
      <c r="H4" s="146"/>
    </row>
    <row r="5" spans="1:26" x14ac:dyDescent="0.2">
      <c r="A5" s="22" t="s">
        <v>82</v>
      </c>
      <c r="H5" s="146"/>
    </row>
    <row r="6" spans="1:26" x14ac:dyDescent="0.2">
      <c r="A6" s="22" t="s">
        <v>80</v>
      </c>
      <c r="H6" s="146"/>
    </row>
    <row r="7" spans="1:26" x14ac:dyDescent="0.2">
      <c r="A7" s="22" t="s">
        <v>81</v>
      </c>
      <c r="H7" s="146"/>
    </row>
    <row r="8" spans="1:26" x14ac:dyDescent="0.2">
      <c r="H8" s="146"/>
      <c r="T8" s="145" t="s">
        <v>77</v>
      </c>
    </row>
    <row r="9" spans="1:26" x14ac:dyDescent="0.2">
      <c r="A9" s="144">
        <v>1</v>
      </c>
      <c r="B9" s="138" t="s">
        <v>71</v>
      </c>
      <c r="C9" s="139"/>
      <c r="D9" s="139"/>
      <c r="E9" s="140"/>
      <c r="H9" s="147"/>
      <c r="T9" s="152">
        <v>1</v>
      </c>
      <c r="U9" s="153" t="s">
        <v>71</v>
      </c>
      <c r="V9" s="154"/>
      <c r="W9" s="154"/>
      <c r="X9" s="155"/>
      <c r="Y9" s="156"/>
      <c r="Z9" s="156"/>
    </row>
    <row r="10" spans="1:26" x14ac:dyDescent="0.2">
      <c r="B10" s="141" t="s">
        <v>72</v>
      </c>
      <c r="C10" s="142"/>
      <c r="D10" s="143" t="s">
        <v>73</v>
      </c>
      <c r="E10" s="142"/>
      <c r="H10" s="147"/>
      <c r="T10" s="156"/>
      <c r="U10" s="157" t="s">
        <v>72</v>
      </c>
      <c r="V10" s="158"/>
      <c r="W10" s="159" t="s">
        <v>73</v>
      </c>
      <c r="X10" s="158"/>
      <c r="Y10" s="156"/>
      <c r="Z10" s="156"/>
    </row>
    <row r="11" spans="1:26" x14ac:dyDescent="0.2">
      <c r="B11" s="129" t="s">
        <v>65</v>
      </c>
      <c r="C11" s="131">
        <f>Reserves_ATDD!$G$3</f>
        <v>0.66309390174204563</v>
      </c>
      <c r="D11" s="130" t="s">
        <v>66</v>
      </c>
      <c r="E11" s="131">
        <f ca="1">(1+Reserves_ATDD!$J$4)*OFFSET(Reserves_ATDD!$P$35,A9-1,0)</f>
        <v>0.58229813664596275</v>
      </c>
      <c r="H11" s="147"/>
      <c r="T11" s="156"/>
      <c r="U11" s="160" t="s">
        <v>65</v>
      </c>
      <c r="V11" s="161">
        <v>0.66309390174204563</v>
      </c>
      <c r="W11" s="162" t="s">
        <v>66</v>
      </c>
      <c r="X11" s="161">
        <v>0.58229813664596275</v>
      </c>
      <c r="Y11" s="156"/>
      <c r="Z11" s="156"/>
    </row>
    <row r="12" spans="1:26" x14ac:dyDescent="0.2">
      <c r="B12" s="129" t="s">
        <v>69</v>
      </c>
      <c r="C12" s="131">
        <f>Reserves_ATDD!$J$4*Reserves_ATDD!$G$3</f>
        <v>6.6309390174204563E-3</v>
      </c>
      <c r="D12" s="130" t="s">
        <v>67</v>
      </c>
      <c r="E12" s="131">
        <f ca="1">OFFSET(Reserves_ATDD!$C$10,Reserves_ATDD!$J$1+A9,0)/OFFSET(Reserves_ATDD!$C$10,Reserves_ATDD!$J$1+A9-1,0)*OFFSET(Reserves_ATDD!$L$8,0,A9)</f>
        <v>8.742670411350334E-2</v>
      </c>
      <c r="H12" s="147"/>
      <c r="T12" s="156"/>
      <c r="U12" s="160" t="s">
        <v>69</v>
      </c>
      <c r="V12" s="161">
        <v>6.6309390174204563E-3</v>
      </c>
      <c r="W12" s="162" t="s">
        <v>67</v>
      </c>
      <c r="X12" s="161">
        <v>8.742670411350334E-2</v>
      </c>
      <c r="Y12" s="156"/>
      <c r="Z12" s="156"/>
    </row>
    <row r="13" spans="1:26" x14ac:dyDescent="0.2">
      <c r="B13" s="134"/>
      <c r="C13" s="136"/>
      <c r="D13" s="135"/>
      <c r="E13" s="136"/>
      <c r="H13" s="147"/>
      <c r="T13" s="156"/>
      <c r="U13" s="163"/>
      <c r="V13" s="164"/>
      <c r="W13" s="165"/>
      <c r="X13" s="164"/>
      <c r="Y13" s="156"/>
      <c r="Z13" s="156"/>
    </row>
    <row r="14" spans="1:26" x14ac:dyDescent="0.2">
      <c r="B14" s="137" t="s">
        <v>68</v>
      </c>
      <c r="C14" s="133">
        <f>SUM(C11:C13)</f>
        <v>0.66972484075946603</v>
      </c>
      <c r="D14" s="132"/>
      <c r="E14" s="133">
        <f ca="1">SUM(E11:E13)</f>
        <v>0.66972484075946603</v>
      </c>
      <c r="F14" s="1" t="str">
        <f ca="1">IF(C14=E14,"Asset = Liability : OK","Asset different from Liability !")</f>
        <v>Asset = Liability : OK</v>
      </c>
      <c r="H14" s="147"/>
      <c r="T14" s="156"/>
      <c r="U14" s="166" t="s">
        <v>68</v>
      </c>
      <c r="V14" s="167">
        <v>0.66972484075946603</v>
      </c>
      <c r="W14" s="168"/>
      <c r="X14" s="167">
        <v>0.66972484075946603</v>
      </c>
      <c r="Y14" s="169" t="s">
        <v>76</v>
      </c>
      <c r="Z14" s="156"/>
    </row>
    <row r="15" spans="1:26" x14ac:dyDescent="0.2">
      <c r="E15" s="1"/>
      <c r="H15" s="147"/>
      <c r="T15" s="156"/>
      <c r="U15" s="156"/>
      <c r="V15" s="156"/>
      <c r="W15" s="156"/>
      <c r="X15" s="169"/>
      <c r="Y15" s="156"/>
      <c r="Z15" s="156"/>
    </row>
    <row r="16" spans="1:26" x14ac:dyDescent="0.2">
      <c r="A16" s="144">
        <f>A9+1</f>
        <v>2</v>
      </c>
      <c r="B16" s="138" t="s">
        <v>71</v>
      </c>
      <c r="C16" s="139"/>
      <c r="D16" s="139"/>
      <c r="E16" s="140"/>
      <c r="H16" s="147"/>
      <c r="T16" s="152">
        <v>2</v>
      </c>
      <c r="U16" s="153" t="s">
        <v>71</v>
      </c>
      <c r="V16" s="154"/>
      <c r="W16" s="154"/>
      <c r="X16" s="155"/>
      <c r="Y16" s="156"/>
      <c r="Z16" s="156"/>
    </row>
    <row r="17" spans="1:26" x14ac:dyDescent="0.2">
      <c r="B17" s="141" t="s">
        <v>72</v>
      </c>
      <c r="C17" s="142"/>
      <c r="D17" s="143" t="s">
        <v>73</v>
      </c>
      <c r="E17" s="142"/>
      <c r="H17" s="147"/>
      <c r="T17" s="156"/>
      <c r="U17" s="157" t="s">
        <v>72</v>
      </c>
      <c r="V17" s="158"/>
      <c r="W17" s="159" t="s">
        <v>73</v>
      </c>
      <c r="X17" s="158"/>
      <c r="Y17" s="156"/>
      <c r="Z17" s="156"/>
    </row>
    <row r="18" spans="1:26" x14ac:dyDescent="0.2">
      <c r="B18" s="129" t="s">
        <v>65</v>
      </c>
      <c r="C18" s="131">
        <f>Reserves_ATDD!$G$3</f>
        <v>0.66309390174204563</v>
      </c>
      <c r="D18" s="130" t="s">
        <v>66</v>
      </c>
      <c r="E18" s="131">
        <f ca="1">(1+Reserves_ATDD!$J$4)*OFFSET(Reserves_ATDD!$P$35,A16-1,0)</f>
        <v>0.62367130895049672</v>
      </c>
      <c r="H18" s="147"/>
      <c r="T18" s="156"/>
      <c r="U18" s="160" t="s">
        <v>65</v>
      </c>
      <c r="V18" s="161">
        <v>0.66309390174204563</v>
      </c>
      <c r="W18" s="162" t="s">
        <v>66</v>
      </c>
      <c r="X18" s="161">
        <v>0.62367130895049672</v>
      </c>
      <c r="Y18" s="156"/>
      <c r="Z18" s="156"/>
    </row>
    <row r="19" spans="1:26" x14ac:dyDescent="0.2">
      <c r="B19" s="129" t="s">
        <v>69</v>
      </c>
      <c r="C19" s="131">
        <f ca="1">(Reserves_ATDD!$G$3+C20)*Reserves_ATDD!$J$4</f>
        <v>7.5103267167425363E-3</v>
      </c>
      <c r="D19" s="130" t="s">
        <v>67</v>
      </c>
      <c r="E19" s="131">
        <f ca="1">OFFSET(Reserves_ATDD!$C$10,Reserves_ATDD!$J$1+A16,0)/OFFSET(Reserves_ATDD!$C$10,Reserves_ATDD!$J$1+A16-1,0)*OFFSET(Reserves_ATDD!$L$8,0,A16)</f>
        <v>0.1348716894404994</v>
      </c>
      <c r="H19" s="147"/>
      <c r="T19" s="156"/>
      <c r="U19" s="160" t="s">
        <v>69</v>
      </c>
      <c r="V19" s="161">
        <v>7.5103267167425363E-3</v>
      </c>
      <c r="W19" s="162" t="s">
        <v>67</v>
      </c>
      <c r="X19" s="161">
        <v>0.1348716894404994</v>
      </c>
      <c r="Y19" s="156"/>
      <c r="Z19" s="156"/>
    </row>
    <row r="20" spans="1:26" x14ac:dyDescent="0.2">
      <c r="B20" s="134" t="s">
        <v>70</v>
      </c>
      <c r="C20" s="136">
        <f ca="1">OFFSET(Reserves_ATDD!$L$8,0,A16-1)</f>
        <v>8.7938769932207964E-2</v>
      </c>
      <c r="D20" s="135"/>
      <c r="E20" s="136"/>
      <c r="H20" s="147"/>
      <c r="T20" s="156"/>
      <c r="U20" s="163" t="s">
        <v>70</v>
      </c>
      <c r="V20" s="164">
        <v>8.7938769932207964E-2</v>
      </c>
      <c r="W20" s="165"/>
      <c r="X20" s="164"/>
      <c r="Y20" s="156"/>
      <c r="Z20" s="156"/>
    </row>
    <row r="21" spans="1:26" x14ac:dyDescent="0.2">
      <c r="B21" s="137" t="s">
        <v>68</v>
      </c>
      <c r="C21" s="133">
        <f ca="1">SUM(C18:C20)</f>
        <v>0.75854299839099615</v>
      </c>
      <c r="D21" s="132"/>
      <c r="E21" s="133">
        <f ca="1">SUM(E18:E20)</f>
        <v>0.75854299839099615</v>
      </c>
      <c r="F21" s="1" t="str">
        <f ca="1">IF(C21=E21,"Asset = Liability : OK","Asset different from Liability !")</f>
        <v>Asset = Liability : OK</v>
      </c>
      <c r="H21" s="147"/>
      <c r="T21" s="156"/>
      <c r="U21" s="166" t="s">
        <v>68</v>
      </c>
      <c r="V21" s="167">
        <v>0.75854299839099615</v>
      </c>
      <c r="W21" s="168"/>
      <c r="X21" s="167">
        <v>0.75854299839099615</v>
      </c>
      <c r="Y21" s="169" t="s">
        <v>76</v>
      </c>
      <c r="Z21" s="156"/>
    </row>
    <row r="22" spans="1:26" x14ac:dyDescent="0.2">
      <c r="H22" s="147"/>
      <c r="T22" s="156"/>
      <c r="U22" s="156"/>
      <c r="V22" s="156"/>
      <c r="W22" s="156"/>
      <c r="X22" s="156"/>
      <c r="Y22" s="156"/>
      <c r="Z22" s="156"/>
    </row>
    <row r="23" spans="1:26" x14ac:dyDescent="0.2">
      <c r="A23" s="144">
        <f>A16+1</f>
        <v>3</v>
      </c>
      <c r="B23" s="138" t="s">
        <v>71</v>
      </c>
      <c r="C23" s="139"/>
      <c r="D23" s="139"/>
      <c r="E23" s="140"/>
      <c r="H23" s="147"/>
      <c r="T23" s="152">
        <v>3</v>
      </c>
      <c r="U23" s="153" t="s">
        <v>71</v>
      </c>
      <c r="V23" s="154"/>
      <c r="W23" s="154"/>
      <c r="X23" s="155"/>
      <c r="Y23" s="156"/>
      <c r="Z23" s="156"/>
    </row>
    <row r="24" spans="1:26" x14ac:dyDescent="0.2">
      <c r="B24" s="141" t="s">
        <v>72</v>
      </c>
      <c r="C24" s="142"/>
      <c r="D24" s="143" t="s">
        <v>73</v>
      </c>
      <c r="E24" s="142"/>
      <c r="H24" s="147"/>
      <c r="T24" s="156"/>
      <c r="U24" s="157" t="s">
        <v>72</v>
      </c>
      <c r="V24" s="158"/>
      <c r="W24" s="159" t="s">
        <v>73</v>
      </c>
      <c r="X24" s="158"/>
      <c r="Y24" s="156"/>
      <c r="Z24" s="156"/>
    </row>
    <row r="25" spans="1:26" x14ac:dyDescent="0.2">
      <c r="B25" s="129" t="s">
        <v>65</v>
      </c>
      <c r="C25" s="131">
        <f>Reserves_ATDD!$G$3</f>
        <v>0.66309390174204563</v>
      </c>
      <c r="D25" s="130" t="s">
        <v>66</v>
      </c>
      <c r="E25" s="131">
        <f ca="1">(1+Reserves_ATDD!$J$4)*OFFSET(Reserves_ATDD!$P$35,A23-1,0)</f>
        <v>0.66796913371388655</v>
      </c>
      <c r="H25" s="147"/>
      <c r="T25" s="156"/>
      <c r="U25" s="160" t="s">
        <v>65</v>
      </c>
      <c r="V25" s="161">
        <v>0.66309390174204563</v>
      </c>
      <c r="W25" s="162" t="s">
        <v>66</v>
      </c>
      <c r="X25" s="161">
        <v>0.66796913371388655</v>
      </c>
      <c r="Y25" s="156"/>
      <c r="Z25" s="156"/>
    </row>
    <row r="26" spans="1:26" x14ac:dyDescent="0.2">
      <c r="B26" s="129" t="s">
        <v>69</v>
      </c>
      <c r="C26" s="131">
        <f ca="1">(Reserves_ATDD!$G$3+C27)*Reserves_ATDD!$J$4</f>
        <v>7.9881202618574607E-3</v>
      </c>
      <c r="D26" s="130" t="s">
        <v>67</v>
      </c>
      <c r="E26" s="131">
        <f ca="1">OFFSET(Reserves_ATDD!$C$10,Reserves_ATDD!$J$1+A23,0)/OFFSET(Reserves_ATDD!$C$10,Reserves_ATDD!$J$1+A23-1,0)*OFFSET(Reserves_ATDD!$L$8,0,A23)</f>
        <v>0.13883101273371701</v>
      </c>
      <c r="H26" s="147"/>
      <c r="T26" s="156"/>
      <c r="U26" s="160" t="s">
        <v>69</v>
      </c>
      <c r="V26" s="161">
        <v>7.9881202618574607E-3</v>
      </c>
      <c r="W26" s="162" t="s">
        <v>67</v>
      </c>
      <c r="X26" s="161">
        <v>0.13883101273371701</v>
      </c>
      <c r="Y26" s="156"/>
      <c r="Z26" s="156"/>
    </row>
    <row r="27" spans="1:26" x14ac:dyDescent="0.2">
      <c r="B27" s="134" t="s">
        <v>70</v>
      </c>
      <c r="C27" s="136">
        <f ca="1">OFFSET(Reserves_ATDD!$L$8,0,A23-1)</f>
        <v>0.13571812444370049</v>
      </c>
      <c r="D27" s="135"/>
      <c r="E27" s="136"/>
      <c r="H27" s="147"/>
      <c r="T27" s="156"/>
      <c r="U27" s="163" t="s">
        <v>70</v>
      </c>
      <c r="V27" s="164">
        <v>0.13571812444370049</v>
      </c>
      <c r="W27" s="165"/>
      <c r="X27" s="164"/>
      <c r="Y27" s="156"/>
      <c r="Z27" s="156"/>
    </row>
    <row r="28" spans="1:26" x14ac:dyDescent="0.2">
      <c r="B28" s="137" t="s">
        <v>68</v>
      </c>
      <c r="C28" s="133">
        <f ca="1">SUM(C25:C27)</f>
        <v>0.80680014644760356</v>
      </c>
      <c r="D28" s="132"/>
      <c r="E28" s="133">
        <f ca="1">SUM(E25:E27)</f>
        <v>0.80680014644760356</v>
      </c>
      <c r="F28" s="1" t="str">
        <f ca="1">IF(C28=E28,"Asset = Liability : OK","Asset different from Liability !")</f>
        <v>Asset = Liability : OK</v>
      </c>
      <c r="H28" s="147"/>
      <c r="T28" s="156"/>
      <c r="U28" s="166" t="s">
        <v>68</v>
      </c>
      <c r="V28" s="167">
        <v>0.80680014644760356</v>
      </c>
      <c r="W28" s="168"/>
      <c r="X28" s="167">
        <v>0.80680014644760356</v>
      </c>
      <c r="Y28" s="169" t="s">
        <v>76</v>
      </c>
      <c r="Z28" s="156"/>
    </row>
    <row r="29" spans="1:26" x14ac:dyDescent="0.2">
      <c r="H29" s="147"/>
      <c r="T29" s="156"/>
      <c r="U29" s="156"/>
      <c r="V29" s="156"/>
      <c r="W29" s="156"/>
      <c r="X29" s="156"/>
      <c r="Y29" s="156"/>
      <c r="Z29" s="156"/>
    </row>
    <row r="30" spans="1:26" x14ac:dyDescent="0.2">
      <c r="A30" s="144">
        <f>A23+1</f>
        <v>4</v>
      </c>
      <c r="B30" s="138" t="s">
        <v>71</v>
      </c>
      <c r="C30" s="139"/>
      <c r="D30" s="139"/>
      <c r="E30" s="140"/>
      <c r="H30" s="147"/>
      <c r="T30" s="152">
        <v>4</v>
      </c>
      <c r="U30" s="153" t="s">
        <v>71</v>
      </c>
      <c r="V30" s="154"/>
      <c r="W30" s="154"/>
      <c r="X30" s="155"/>
      <c r="Y30" s="156"/>
      <c r="Z30" s="156"/>
    </row>
    <row r="31" spans="1:26" x14ac:dyDescent="0.2">
      <c r="B31" s="141" t="s">
        <v>72</v>
      </c>
      <c r="C31" s="142"/>
      <c r="D31" s="143" t="s">
        <v>73</v>
      </c>
      <c r="E31" s="142"/>
      <c r="H31" s="147"/>
      <c r="T31" s="156"/>
      <c r="U31" s="157" t="s">
        <v>72</v>
      </c>
      <c r="V31" s="158"/>
      <c r="W31" s="159" t="s">
        <v>73</v>
      </c>
      <c r="X31" s="158"/>
      <c r="Y31" s="156"/>
      <c r="Z31" s="156"/>
    </row>
    <row r="32" spans="1:26" x14ac:dyDescent="0.2">
      <c r="B32" s="129" t="s">
        <v>65</v>
      </c>
      <c r="C32" s="131">
        <f>Reserves_ATDD!$G$3</f>
        <v>0.66309390174204563</v>
      </c>
      <c r="D32" s="130" t="s">
        <v>66</v>
      </c>
      <c r="E32" s="131">
        <f ca="1">(1+Reserves_ATDD!$J$4)*OFFSET(Reserves_ATDD!$P$35,A30-1,0)</f>
        <v>0.71531387005680758</v>
      </c>
      <c r="H32" s="147"/>
      <c r="T32" s="156"/>
      <c r="U32" s="160" t="s">
        <v>65</v>
      </c>
      <c r="V32" s="161">
        <v>0.66309390174204563</v>
      </c>
      <c r="W32" s="162" t="s">
        <v>66</v>
      </c>
      <c r="X32" s="161">
        <v>0.71531387005680758</v>
      </c>
      <c r="Y32" s="156"/>
      <c r="Z32" s="156"/>
    </row>
    <row r="33" spans="1:26" x14ac:dyDescent="0.2">
      <c r="B33" s="129" t="s">
        <v>69</v>
      </c>
      <c r="C33" s="131">
        <f ca="1">(Reserves_ATDD!$G$3+C34)*Reserves_ATDD!$J$4</f>
        <v>8.0285849884426507E-3</v>
      </c>
      <c r="D33" s="130" t="s">
        <v>67</v>
      </c>
      <c r="E33" s="131">
        <f ca="1">OFFSET(Reserves_ATDD!$C$10,Reserves_ATDD!$J$1+A30,0)/OFFSET(Reserves_ATDD!$C$10,Reserves_ATDD!$J$1+A30-1,0)*OFFSET(Reserves_ATDD!$L$8,0,A30)</f>
        <v>9.5573213775900098E-2</v>
      </c>
      <c r="H33" s="147"/>
      <c r="T33" s="156"/>
      <c r="U33" s="160" t="s">
        <v>69</v>
      </c>
      <c r="V33" s="161">
        <v>8.0285849884426507E-3</v>
      </c>
      <c r="W33" s="162" t="s">
        <v>67</v>
      </c>
      <c r="X33" s="161">
        <v>9.5573213775900098E-2</v>
      </c>
      <c r="Y33" s="156"/>
      <c r="Z33" s="156"/>
    </row>
    <row r="34" spans="1:26" x14ac:dyDescent="0.2">
      <c r="B34" s="134" t="s">
        <v>70</v>
      </c>
      <c r="C34" s="136">
        <f ca="1">OFFSET(Reserves_ATDD!$L$8,0,A30-1)</f>
        <v>0.13976459710221942</v>
      </c>
      <c r="D34" s="135"/>
      <c r="E34" s="136"/>
      <c r="H34" s="147"/>
      <c r="T34" s="156"/>
      <c r="U34" s="163" t="s">
        <v>70</v>
      </c>
      <c r="V34" s="164">
        <v>0.13976459710221942</v>
      </c>
      <c r="W34" s="165"/>
      <c r="X34" s="164"/>
      <c r="Y34" s="156"/>
      <c r="Z34" s="156"/>
    </row>
    <row r="35" spans="1:26" x14ac:dyDescent="0.2">
      <c r="B35" s="137" t="s">
        <v>68</v>
      </c>
      <c r="C35" s="133">
        <f ca="1">SUM(C32:C34)</f>
        <v>0.81088708383270769</v>
      </c>
      <c r="D35" s="132"/>
      <c r="E35" s="133">
        <f ca="1">SUM(E32:E34)</f>
        <v>0.81088708383270769</v>
      </c>
      <c r="F35" s="1" t="str">
        <f ca="1">IF(C35=E35,"Asset = Liability : OK","Asset different from Liability !")</f>
        <v>Asset = Liability : OK</v>
      </c>
      <c r="H35" s="147"/>
      <c r="T35" s="156"/>
      <c r="U35" s="166" t="s">
        <v>68</v>
      </c>
      <c r="V35" s="167">
        <v>0.81088708383270769</v>
      </c>
      <c r="W35" s="168"/>
      <c r="X35" s="167">
        <v>0.81088708383270769</v>
      </c>
      <c r="Y35" s="169" t="s">
        <v>76</v>
      </c>
      <c r="Z35" s="156"/>
    </row>
    <row r="36" spans="1:26" x14ac:dyDescent="0.2">
      <c r="H36" s="147"/>
      <c r="T36" s="156"/>
      <c r="U36" s="156"/>
      <c r="V36" s="156"/>
      <c r="W36" s="156"/>
      <c r="X36" s="156"/>
      <c r="Y36" s="156"/>
      <c r="Z36" s="156"/>
    </row>
    <row r="37" spans="1:26" x14ac:dyDescent="0.2">
      <c r="A37" s="144">
        <f>A30+1</f>
        <v>5</v>
      </c>
      <c r="B37" s="138" t="s">
        <v>71</v>
      </c>
      <c r="C37" s="139"/>
      <c r="D37" s="139"/>
      <c r="E37" s="140"/>
      <c r="H37" s="147"/>
      <c r="T37" s="152">
        <v>5</v>
      </c>
      <c r="U37" s="153" t="s">
        <v>71</v>
      </c>
      <c r="V37" s="154"/>
      <c r="W37" s="154"/>
      <c r="X37" s="155"/>
      <c r="Y37" s="156"/>
      <c r="Z37" s="156"/>
    </row>
    <row r="38" spans="1:26" x14ac:dyDescent="0.2">
      <c r="B38" s="141" t="s">
        <v>72</v>
      </c>
      <c r="C38" s="142"/>
      <c r="D38" s="143" t="s">
        <v>73</v>
      </c>
      <c r="E38" s="142"/>
      <c r="H38" s="147"/>
      <c r="T38" s="156"/>
      <c r="U38" s="157" t="s">
        <v>72</v>
      </c>
      <c r="V38" s="158"/>
      <c r="W38" s="159" t="s">
        <v>73</v>
      </c>
      <c r="X38" s="158"/>
      <c r="Y38" s="156"/>
      <c r="Z38" s="156"/>
    </row>
    <row r="39" spans="1:26" x14ac:dyDescent="0.2">
      <c r="B39" s="129" t="s">
        <v>65</v>
      </c>
      <c r="C39" s="131">
        <f>Reserves_ATDD!$G$3</f>
        <v>0.66309390174204563</v>
      </c>
      <c r="D39" s="130" t="s">
        <v>66</v>
      </c>
      <c r="E39" s="131">
        <f ca="1">(1+Reserves_ATDD!$J$4)*OFFSET(Reserves_ATDD!$P$35,A37-1,0)</f>
        <v>0.76694924633126005</v>
      </c>
      <c r="H39" s="147"/>
      <c r="T39" s="156"/>
      <c r="U39" s="160" t="s">
        <v>65</v>
      </c>
      <c r="V39" s="161">
        <v>0.66309390174204563</v>
      </c>
      <c r="W39" s="162" t="s">
        <v>66</v>
      </c>
      <c r="X39" s="161">
        <v>0.76694924633126005</v>
      </c>
      <c r="Y39" s="156"/>
      <c r="Z39" s="156"/>
    </row>
    <row r="40" spans="1:26" x14ac:dyDescent="0.2">
      <c r="B40" s="129" t="s">
        <v>69</v>
      </c>
      <c r="C40" s="131">
        <f ca="1">(Reserves_ATDD!$G$3+C41)*Reserves_ATDD!$J$4</f>
        <v>7.5935568943689162E-3</v>
      </c>
      <c r="D40" s="130" t="s">
        <v>67</v>
      </c>
      <c r="E40" s="131">
        <f ca="1">OFFSET(Reserves_ATDD!$C$10,Reserves_ATDD!$J$1+A37,0)/OFFSET(Reserves_ATDD!$C$10,Reserves_ATDD!$J$1+A37-1,0)*OFFSET(Reserves_ATDD!$L$8,0,A37)</f>
        <v>3.3639757646142246E-16</v>
      </c>
      <c r="H40" s="147"/>
      <c r="T40" s="156"/>
      <c r="U40" s="160" t="s">
        <v>69</v>
      </c>
      <c r="V40" s="161">
        <v>7.5935568943689162E-3</v>
      </c>
      <c r="W40" s="162" t="s">
        <v>67</v>
      </c>
      <c r="X40" s="161">
        <v>3.3639757646142246E-16</v>
      </c>
      <c r="Y40" s="156"/>
      <c r="Z40" s="156"/>
    </row>
    <row r="41" spans="1:26" x14ac:dyDescent="0.2">
      <c r="B41" s="134" t="s">
        <v>70</v>
      </c>
      <c r="C41" s="136">
        <f ca="1">OFFSET(Reserves_ATDD!$L$8,0,A37-1)</f>
        <v>9.6261787694845974E-2</v>
      </c>
      <c r="D41" s="135"/>
      <c r="E41" s="136"/>
      <c r="H41" s="147"/>
      <c r="T41" s="156"/>
      <c r="U41" s="163" t="s">
        <v>70</v>
      </c>
      <c r="V41" s="164">
        <v>9.6261787694845974E-2</v>
      </c>
      <c r="W41" s="165"/>
      <c r="X41" s="164"/>
      <c r="Y41" s="156"/>
      <c r="Z41" s="156"/>
    </row>
    <row r="42" spans="1:26" x14ac:dyDescent="0.2">
      <c r="B42" s="137" t="s">
        <v>68</v>
      </c>
      <c r="C42" s="133">
        <f ca="1">SUM(C39:C41)</f>
        <v>0.76694924633126049</v>
      </c>
      <c r="D42" s="132"/>
      <c r="E42" s="133">
        <f ca="1">SUM(E39:E41)</f>
        <v>0.76694924633126038</v>
      </c>
      <c r="F42" s="1" t="str">
        <f ca="1">IF(C42=E42,"Asset = Liability : OK","Asset different from Liability !")</f>
        <v>Asset = Liability : OK</v>
      </c>
      <c r="H42" s="147"/>
      <c r="T42" s="156"/>
      <c r="U42" s="166" t="s">
        <v>68</v>
      </c>
      <c r="V42" s="167">
        <v>0.76694924633126049</v>
      </c>
      <c r="W42" s="168"/>
      <c r="X42" s="167">
        <v>0.76694924633126038</v>
      </c>
      <c r="Y42" s="169" t="s">
        <v>76</v>
      </c>
      <c r="Z42" s="156"/>
    </row>
    <row r="43" spans="1:26" x14ac:dyDescent="0.2">
      <c r="H43" s="147"/>
      <c r="T43" s="156"/>
      <c r="U43" s="156"/>
      <c r="V43" s="156"/>
      <c r="W43" s="156"/>
      <c r="X43" s="156"/>
      <c r="Y43" s="156"/>
      <c r="Z43" s="156"/>
    </row>
    <row r="44" spans="1:26" x14ac:dyDescent="0.2">
      <c r="A44" s="146"/>
      <c r="B44" s="146"/>
      <c r="C44" s="146"/>
      <c r="D44" s="146"/>
      <c r="E44" s="146"/>
      <c r="F44" s="146"/>
      <c r="G44" s="146"/>
      <c r="H44" s="147"/>
      <c r="I44" s="146"/>
    </row>
    <row r="45" spans="1:26" x14ac:dyDescent="0.2">
      <c r="H45" s="22"/>
    </row>
    <row r="46" spans="1:26" x14ac:dyDescent="0.2">
      <c r="H46" s="22"/>
    </row>
    <row r="47" spans="1:26" x14ac:dyDescent="0.2">
      <c r="H47" s="22"/>
    </row>
  </sheetData>
  <conditionalFormatting sqref="F42">
    <cfRule type="expression" dxfId="9" priority="23">
      <formula>F42&lt;&gt;"Asset = Liability : OK"</formula>
    </cfRule>
  </conditionalFormatting>
  <conditionalFormatting sqref="F14">
    <cfRule type="expression" dxfId="8" priority="27">
      <formula>F14&lt;&gt;"Asset = Liability : OK"</formula>
    </cfRule>
  </conditionalFormatting>
  <conditionalFormatting sqref="F21">
    <cfRule type="expression" dxfId="7" priority="26">
      <formula>F21&lt;&gt;"Asset = Liability : OK"</formula>
    </cfRule>
  </conditionalFormatting>
  <conditionalFormatting sqref="F28">
    <cfRule type="expression" dxfId="6" priority="25">
      <formula>F28&lt;&gt;"Asset = Liability : OK"</formula>
    </cfRule>
  </conditionalFormatting>
  <conditionalFormatting sqref="F35">
    <cfRule type="expression" dxfId="5" priority="24">
      <formula>F35&lt;&gt;"Asset = Liability : OK"</formula>
    </cfRule>
  </conditionalFormatting>
  <conditionalFormatting sqref="Y14">
    <cfRule type="expression" dxfId="4" priority="9">
      <formula>Y14&lt;&gt;"Asset = Liability : OK"</formula>
    </cfRule>
  </conditionalFormatting>
  <conditionalFormatting sqref="Y21">
    <cfRule type="expression" dxfId="3" priority="8">
      <formula>Y21&lt;&gt;"Asset = Liability : OK"</formula>
    </cfRule>
  </conditionalFormatting>
  <conditionalFormatting sqref="Y28">
    <cfRule type="expression" dxfId="2" priority="7">
      <formula>Y28&lt;&gt;"Asset = Liability : OK"</formula>
    </cfRule>
  </conditionalFormatting>
  <conditionalFormatting sqref="Y35">
    <cfRule type="expression" dxfId="1" priority="6">
      <formula>Y35&lt;&gt;"Asset = Liability : OK"</formula>
    </cfRule>
  </conditionalFormatting>
  <conditionalFormatting sqref="Y42">
    <cfRule type="expression" dxfId="0" priority="5">
      <formula>Y42&lt;&gt;"Asset = Liability : OK"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Premium_ATDD</vt:lpstr>
      <vt:lpstr>Stress_Scenario_Premium_ATDD</vt:lpstr>
      <vt:lpstr>Reserves_ATDD</vt:lpstr>
      <vt:lpstr>BalanceSheet_ATDD</vt:lpstr>
      <vt:lpstr>Premium_ATDD!MortalityTable</vt:lpstr>
      <vt:lpstr>Reserves_ATDD!MortalityTable</vt:lpstr>
      <vt:lpstr>Stress_Scenario_Premium_ATDD!MortalityTable</vt:lpstr>
    </vt:vector>
  </TitlesOfParts>
  <Company>Universo Servizi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Montiferrari</dc:creator>
  <cp:lastModifiedBy>philippe negre</cp:lastModifiedBy>
  <dcterms:created xsi:type="dcterms:W3CDTF">2006-11-07T20:43:23Z</dcterms:created>
  <dcterms:modified xsi:type="dcterms:W3CDTF">2022-02-16T09:36:54Z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8130c477-7ce2-4a6b-b840-d5704795e1e6</vt:lpwstr>
  </property>
</Properties>
</file>